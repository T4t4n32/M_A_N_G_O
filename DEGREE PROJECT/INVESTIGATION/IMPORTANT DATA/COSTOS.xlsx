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t4n32\Downloads\OneDrive_2_10-7-2025\"/>
    </mc:Choice>
  </mc:AlternateContent>
  <xr:revisionPtr revIDLastSave="0" documentId="13_ncr:1_{4D523CA8-22A4-4681-A897-D188959FD9C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RONOGRAMA" sheetId="4" r:id="rId1"/>
    <sheet name="COSTOS" sheetId="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__xlnm._FilterDatabase">#REF!</definedName>
    <definedName name="_____xlnm.Print_Titles">#REF!</definedName>
    <definedName name="_____xlnm.Print_Titles_1">#REF!</definedName>
    <definedName name="____xlnm._FilterDatabase">#REF!</definedName>
    <definedName name="____xlnm.Print_Titles">#REF!</definedName>
    <definedName name="____xlnm.Print_Titles_1">#REF!</definedName>
    <definedName name="___xlnm._FilterDatabase">#REF!</definedName>
    <definedName name="___xlnm.Print_Titles">#REF!</definedName>
    <definedName name="___xlnm.Print_Titles_1">#REF!</definedName>
    <definedName name="__xlnm._FilterDatabase">#REF!</definedName>
    <definedName name="__xlnm.Print_Titles">#REF!</definedName>
    <definedName name="__xlnm.Print_Titles_1">#REF!</definedName>
    <definedName name="AccessDatabase" hidden="1">"C:\Mis documentos\ACTIVOS.MDB"</definedName>
    <definedName name="ACT_FIJOS_VALOR">'[1]Activos Fijos Reales'!$G$15</definedName>
    <definedName name="AJUSTE_REAJ_FIS_AF">'[1]Reajustes fiscales opcionales'!$M$38</definedName>
    <definedName name="_xlnm.Print_Area">#REF!</definedName>
    <definedName name="AS2DocOpenMode" hidden="1">"AS2DocumentEdit"</definedName>
    <definedName name="CALDECNM">[1]Parámetros!$N$119:$N$140</definedName>
    <definedName name="Caracter">[2]Listas!$B$13:$B$14</definedName>
    <definedName name="CIIU">[1]Parámetros!$B$108:$C$547</definedName>
    <definedName name="CIIUNM">[1]Parámetros!$B$108:$B$547</definedName>
    <definedName name="CLASEDEC">[1]Parámetros!$N$108:$O$111</definedName>
    <definedName name="CLASEDECNM">[1]Parámetros!$N$108:$N$111</definedName>
    <definedName name="CODADMONNM">[1]Parámetros!$J$145:$J$189</definedName>
    <definedName name="CODDOCSNM">[1]Parámetros!$N$162:$N$167</definedName>
    <definedName name="DEPTOSNM">[1]Parámetros!$J$108:$J$140</definedName>
    <definedName name="DIVIPOL">[1]Parámetros!$E$108:$H$1158</definedName>
    <definedName name="DIVIPOL1">[1]Parámetros!$F$108:$H$1158</definedName>
    <definedName name="DIVIPOLCOD">[1]Parámetros!$G$108:$G$1158</definedName>
    <definedName name="DIVIPOLNM">[1]Parámetros!$E$108:$E$1158</definedName>
    <definedName name="Excel_BuiltIn_Print_Titles">#REF!</definedName>
    <definedName name="Excel_BuiltIn_Print_Titles_1">#REF!</definedName>
    <definedName name="G">#REF!</definedName>
    <definedName name="gActEcono">[1]Parámetros!$E$12</definedName>
    <definedName name="gAdmon">[1]Parámetros!$E$10</definedName>
    <definedName name="gAño">[1]Parámetros!$E$7</definedName>
    <definedName name="gApe1Dec">[1]Parámetros!$E$22</definedName>
    <definedName name="gApe1Rev">[1]Parámetros!$E$24</definedName>
    <definedName name="gApe2Dec">[1]Parámetros!$F$22</definedName>
    <definedName name="gApe2Rev">[1]Parámetros!$F$24</definedName>
    <definedName name="GB">#REF!</definedName>
    <definedName name="gCalDec">[1]Parámetros!$E$19</definedName>
    <definedName name="gCedDec">[1]Parámetros!$E$23</definedName>
    <definedName name="gCedRev">[1]Parámetros!$E$25</definedName>
    <definedName name="gClaseDec">[1]Parámetros!$E$17</definedName>
    <definedName name="gDeclaraPrimerVez">[1]Parámetros!$L$30</definedName>
    <definedName name="gDepto">[1]Parámetros!$E$15</definedName>
    <definedName name="gDireccion">[1]Parámetros!$E$13</definedName>
    <definedName name="gExentoRtaPres">[1]Parámetros!$L$29</definedName>
    <definedName name="gFechaDecCor">[1]Parámetros!$G$33</definedName>
    <definedName name="gMetValInv">[1]Parámetros!$E$21</definedName>
    <definedName name="gMun">[1]Parámetros!$E$16</definedName>
    <definedName name="gNIT">[1]Parámetros!$E$9</definedName>
    <definedName name="gNom1Dec">[1]Parámetros!$G$22</definedName>
    <definedName name="gNom1Rev">[1]Parámetros!$G$24</definedName>
    <definedName name="gNom2Dec">[1]Parámetros!$H$22</definedName>
    <definedName name="gNom2Rev">[1]Parámetros!$H$24</definedName>
    <definedName name="gNumeroAutoadhesivo">[1]Parámetros!$E$33</definedName>
    <definedName name="gPUC">[1]Parámetros!$E$11</definedName>
    <definedName name="gRazonSocial">[1]Parámetros!$E$8</definedName>
    <definedName name="gRentasMixtas">[1]Parámetros!$M$30</definedName>
    <definedName name="gSisInv">[1]Parámetros!$E$20</definedName>
    <definedName name="gTelefono">[1]Parámetros!$E$14</definedName>
    <definedName name="gTipoContrib">[1]Parámetros!$E$18</definedName>
    <definedName name="gTProf">[1]Parámetros!$E$26</definedName>
    <definedName name="image">[3]INICIO!$K$14</definedName>
    <definedName name="ImptoRenta">[1]Parámetros!$J$28</definedName>
    <definedName name="Lista1">[4]Datos!$D$6:$D$7</definedName>
    <definedName name="LST_BAL_CRE_CON">[1]Balance!$E$10:$E$325</definedName>
    <definedName name="LST_BAL_CUENTAS">[1]Balance!$B$10:$B$325</definedName>
    <definedName name="LST_BAL_DEB_CON">[1]Balance!$D$10:$D$325</definedName>
    <definedName name="LST_BAL_RENGLONES">[1]Balance!$L$10:$L$325</definedName>
    <definedName name="LST_BALANCE">[1]Balance!$B$10:$L$325</definedName>
    <definedName name="mitabla">[5]Ej13!$L$13:$O$22</definedName>
    <definedName name="Moneda">[6]Lista!$B$19:$B$23</definedName>
    <definedName name="Monedas">[7]Listas!$B$19:$B$23</definedName>
    <definedName name="MOTCOR">[1]Parámetros!$N$170:$O$172</definedName>
    <definedName name="MOTCORNM">[1]Parámetros!$N$170:$N$172</definedName>
    <definedName name="pActEcono">[1]Parámetros!$K$12</definedName>
    <definedName name="pAdmon">[1]Parámetros!$J$10</definedName>
    <definedName name="pCedDec">[1]Parámetros!$J$23</definedName>
    <definedName name="pCedRev">[1]Parámetros!$J$25</definedName>
    <definedName name="pClaseDec">[1]Parámetros!$J$17</definedName>
    <definedName name="pCorreccionDeclaracion">[1]Parámetros!$L$32</definedName>
    <definedName name="pFechaCuota1">[1]Parámetros!$L$18</definedName>
    <definedName name="pFechaCuota2">[1]Parámetros!$M$18</definedName>
    <definedName name="pFechaCuota3">[1]Parámetros!$N$18</definedName>
    <definedName name="pFechaCuota4">[1]Parámetros!$O$18</definedName>
    <definedName name="pFechaCuota5">[1]Parámetros!$P$18</definedName>
    <definedName name="pNomDec">[1]Parámetros!$J$22</definedName>
    <definedName name="pNomRev">[1]Parámetros!$J$24</definedName>
    <definedName name="pNumeroAutoadhesivo">[1]Parámetros!$J$33</definedName>
    <definedName name="pParafiscalesCausadoPagado">'[1]Base Aportes Causados'!$L$72</definedName>
    <definedName name="ppTipoContrib">[1]Parámetros!$K$18</definedName>
    <definedName name="pPUC">[1]Parámetros!$J$11</definedName>
    <definedName name="pSegSocialCausadoPagado">'[1]Base Aportes Causados'!$L$90</definedName>
    <definedName name="pTipoContrib">[1]Parámetros!$J$18</definedName>
    <definedName name="pTProf">[1]Parámetros!$J$26</definedName>
    <definedName name="PUCS">[1]PUC!$B$2:$G$10210</definedName>
    <definedName name="Respuestas">[8]Listas!$B$28:$B$29</definedName>
    <definedName name="Subactivos">[8]Listas!$B$9:$B$11</definedName>
    <definedName name="tablax">[5]Ej10!$L$5:$O$14</definedName>
    <definedName name="team">[9]PARAMETROS!$E$4:$E$10</definedName>
    <definedName name="Termnegociacion">[6]Lista!$B$9:$B$16</definedName>
    <definedName name="TIPOCONTRIBNM">[1]Parámetros!$N$114:$N$116</definedName>
    <definedName name="Tipodearrendamiento">[4]Datos!$E$6:$E$8</definedName>
    <definedName name="TIPPUC">[1]Parámetros!$N$156:$O$159</definedName>
    <definedName name="TIPPUCNM">[1]Parámetros!$N$156:$N$159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" l="1"/>
  <c r="C10" i="8"/>
  <c r="B59" i="8" s="1"/>
  <c r="B63" i="8"/>
  <c r="B61" i="8"/>
  <c r="C23" i="8"/>
  <c r="B60" i="8" s="1"/>
  <c r="B64" i="8" l="1"/>
  <c r="B65" i="8" s="1"/>
  <c r="B66" i="8"/>
  <c r="NG7" i="4"/>
  <c r="NF7" i="4"/>
  <c r="NE7" i="4"/>
  <c r="ND7" i="4"/>
  <c r="NC7" i="4"/>
  <c r="NB7" i="4"/>
  <c r="NA7" i="4"/>
  <c r="MZ7" i="4"/>
  <c r="MY7" i="4"/>
  <c r="MX7" i="4"/>
  <c r="MW7" i="4"/>
  <c r="MV7" i="4"/>
  <c r="MU7" i="4"/>
  <c r="MT7" i="4"/>
  <c r="MS7" i="4"/>
  <c r="MR7" i="4"/>
  <c r="MQ7" i="4"/>
  <c r="MP7" i="4"/>
  <c r="MO7" i="4"/>
  <c r="MN7" i="4"/>
  <c r="MM7" i="4"/>
  <c r="ML7" i="4"/>
  <c r="MK7" i="4"/>
  <c r="MJ7" i="4"/>
  <c r="MI7" i="4"/>
  <c r="MH7" i="4"/>
  <c r="MG7" i="4"/>
  <c r="MF7" i="4"/>
  <c r="ME7" i="4"/>
  <c r="MD7" i="4"/>
  <c r="MC7" i="4"/>
  <c r="MB7" i="4"/>
  <c r="MA7" i="4"/>
  <c r="LZ7" i="4"/>
  <c r="LY7" i="4"/>
  <c r="LX7" i="4"/>
  <c r="LW7" i="4"/>
  <c r="LV7" i="4"/>
  <c r="LU7" i="4"/>
  <c r="LT7" i="4"/>
  <c r="LS7" i="4"/>
  <c r="LR7" i="4"/>
  <c r="LQ7" i="4"/>
  <c r="LP7" i="4"/>
  <c r="LO7" i="4"/>
  <c r="LN7" i="4"/>
  <c r="LM7" i="4"/>
  <c r="LL7" i="4"/>
  <c r="LK7" i="4"/>
  <c r="LJ7" i="4"/>
  <c r="LI7" i="4"/>
  <c r="LH7" i="4"/>
  <c r="LG7" i="4"/>
  <c r="LF7" i="4"/>
  <c r="LE7" i="4"/>
  <c r="LD7" i="4"/>
  <c r="LC7" i="4"/>
  <c r="LB7" i="4"/>
  <c r="LA7" i="4"/>
  <c r="KZ7" i="4"/>
  <c r="KY7" i="4"/>
  <c r="KX7" i="4"/>
  <c r="KW7" i="4"/>
  <c r="KV7" i="4"/>
  <c r="KU7" i="4"/>
  <c r="KT7" i="4"/>
  <c r="KS7" i="4"/>
  <c r="KR7" i="4"/>
  <c r="KQ7" i="4"/>
  <c r="KP7" i="4"/>
  <c r="KO7" i="4"/>
  <c r="KN7" i="4"/>
  <c r="KM7" i="4"/>
  <c r="KL7" i="4"/>
  <c r="KK7" i="4"/>
  <c r="KJ7" i="4"/>
  <c r="KI7" i="4"/>
  <c r="KH7" i="4"/>
  <c r="KG7" i="4"/>
  <c r="KF7" i="4"/>
  <c r="KE7" i="4"/>
  <c r="KD7" i="4"/>
  <c r="KC7" i="4"/>
  <c r="KB7" i="4"/>
  <c r="KA7" i="4"/>
  <c r="JZ7" i="4"/>
  <c r="JY7" i="4"/>
  <c r="JX7" i="4"/>
  <c r="JW7" i="4"/>
  <c r="JV7" i="4"/>
  <c r="JU7" i="4"/>
  <c r="JT7" i="4"/>
  <c r="JS7" i="4"/>
  <c r="JR7" i="4"/>
  <c r="JQ7" i="4"/>
  <c r="JP7" i="4"/>
  <c r="JO7" i="4"/>
  <c r="JN7" i="4"/>
  <c r="JM7" i="4"/>
  <c r="JL7" i="4"/>
  <c r="JK7" i="4"/>
  <c r="JJ7" i="4"/>
  <c r="JI7" i="4"/>
  <c r="JH7" i="4"/>
  <c r="JG7" i="4"/>
  <c r="JF7" i="4"/>
  <c r="JE7" i="4"/>
  <c r="JD7" i="4"/>
  <c r="JC7" i="4"/>
  <c r="JB7" i="4"/>
  <c r="JA7" i="4"/>
  <c r="IZ7" i="4"/>
  <c r="IY7" i="4"/>
  <c r="IX7" i="4"/>
  <c r="IW7" i="4"/>
  <c r="IV7" i="4"/>
  <c r="IU7" i="4"/>
  <c r="IT7" i="4"/>
  <c r="IS7" i="4"/>
  <c r="IR7" i="4"/>
  <c r="IQ7" i="4"/>
  <c r="IP7" i="4"/>
  <c r="IO7" i="4"/>
  <c r="IN7" i="4"/>
  <c r="IM7" i="4"/>
  <c r="IL7" i="4"/>
  <c r="IK7" i="4"/>
  <c r="IJ7" i="4"/>
  <c r="II7" i="4"/>
  <c r="IH7" i="4"/>
  <c r="IG7" i="4"/>
  <c r="IF7" i="4"/>
  <c r="IE7" i="4"/>
  <c r="ID7" i="4"/>
  <c r="IC7" i="4"/>
  <c r="IB7" i="4"/>
  <c r="IA7" i="4"/>
  <c r="HZ7" i="4"/>
  <c r="HY7" i="4"/>
  <c r="HX7" i="4"/>
  <c r="HW7" i="4"/>
  <c r="HV7" i="4"/>
  <c r="HU7" i="4"/>
  <c r="HT7" i="4"/>
  <c r="HS7" i="4"/>
  <c r="HR7" i="4"/>
  <c r="HQ7" i="4"/>
  <c r="HP7" i="4"/>
  <c r="HO7" i="4"/>
  <c r="HN7" i="4"/>
  <c r="HM7" i="4"/>
  <c r="HL7" i="4"/>
  <c r="HK7" i="4"/>
  <c r="HJ7" i="4"/>
  <c r="HI7" i="4"/>
  <c r="HH7" i="4"/>
  <c r="HG7" i="4"/>
  <c r="HF7" i="4"/>
  <c r="HE7" i="4"/>
  <c r="HD7" i="4"/>
  <c r="HC7" i="4"/>
  <c r="HB7" i="4"/>
  <c r="HA7" i="4"/>
  <c r="GZ7" i="4"/>
  <c r="GY7" i="4"/>
  <c r="GX7" i="4"/>
  <c r="GW7" i="4"/>
  <c r="GV7" i="4"/>
  <c r="GU7" i="4"/>
  <c r="GT7" i="4"/>
  <c r="GS7" i="4"/>
  <c r="GR7" i="4"/>
  <c r="GQ7" i="4"/>
  <c r="GP7" i="4"/>
  <c r="GO7" i="4"/>
  <c r="GN7" i="4"/>
  <c r="GM7" i="4"/>
  <c r="GL7" i="4"/>
  <c r="GK7" i="4"/>
  <c r="GJ7" i="4"/>
  <c r="GI7" i="4"/>
  <c r="GH7" i="4"/>
  <c r="GG7" i="4"/>
  <c r="GF7" i="4"/>
  <c r="GE7" i="4"/>
  <c r="GD7" i="4"/>
  <c r="GC7" i="4"/>
  <c r="GB7" i="4"/>
  <c r="GA7" i="4"/>
  <c r="FZ7" i="4"/>
  <c r="FY7" i="4"/>
  <c r="FX7" i="4"/>
  <c r="FW7" i="4"/>
  <c r="FV7" i="4"/>
  <c r="FU7" i="4"/>
  <c r="FT7" i="4"/>
  <c r="FS7" i="4"/>
  <c r="FR7" i="4"/>
  <c r="FQ7" i="4"/>
  <c r="FP7" i="4"/>
  <c r="FO7" i="4"/>
  <c r="FN7" i="4"/>
  <c r="FM7" i="4"/>
  <c r="FL7" i="4"/>
  <c r="FK7" i="4"/>
  <c r="FJ7" i="4"/>
  <c r="FI7" i="4"/>
  <c r="FH7" i="4"/>
  <c r="FG7" i="4"/>
  <c r="FF7" i="4"/>
  <c r="FE7" i="4"/>
  <c r="FD7" i="4"/>
  <c r="FC7" i="4"/>
  <c r="FB7" i="4"/>
  <c r="FA7" i="4"/>
  <c r="EZ7" i="4"/>
  <c r="EY7" i="4"/>
  <c r="EX7" i="4"/>
  <c r="EW7" i="4"/>
  <c r="EV7" i="4"/>
  <c r="EU7" i="4"/>
  <c r="ET7" i="4"/>
  <c r="ES7" i="4"/>
  <c r="ER7" i="4"/>
  <c r="EQ7" i="4"/>
  <c r="EP7" i="4"/>
  <c r="EO7" i="4"/>
  <c r="EN7" i="4"/>
  <c r="EM7" i="4"/>
  <c r="EL7" i="4"/>
  <c r="EK7" i="4"/>
  <c r="EJ7" i="4"/>
  <c r="EI7" i="4"/>
  <c r="EH7" i="4"/>
  <c r="EG7" i="4"/>
  <c r="EF7" i="4"/>
  <c r="EE7" i="4"/>
  <c r="ED7" i="4"/>
  <c r="EC7" i="4"/>
  <c r="EB7" i="4"/>
  <c r="EA7" i="4"/>
  <c r="DZ7" i="4"/>
  <c r="DY7" i="4"/>
  <c r="DX7" i="4"/>
  <c r="DW7" i="4"/>
  <c r="DV7" i="4"/>
  <c r="DU7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B5" i="4"/>
  <c r="B4" i="4"/>
  <c r="B3" i="4"/>
  <c r="NG9" i="4"/>
  <c r="NF9" i="4"/>
  <c r="NE9" i="4"/>
  <c r="ND9" i="4"/>
  <c r="NC9" i="4"/>
  <c r="NB9" i="4"/>
  <c r="NA9" i="4"/>
  <c r="MZ9" i="4"/>
  <c r="MY9" i="4"/>
  <c r="MX9" i="4"/>
  <c r="MW9" i="4"/>
  <c r="MV9" i="4"/>
  <c r="MU9" i="4"/>
  <c r="MT9" i="4"/>
  <c r="MS9" i="4"/>
  <c r="MR9" i="4"/>
  <c r="MQ9" i="4"/>
  <c r="MP9" i="4"/>
  <c r="MO9" i="4"/>
  <c r="MN9" i="4"/>
  <c r="MM9" i="4"/>
  <c r="ML9" i="4"/>
  <c r="MK9" i="4"/>
  <c r="MJ9" i="4"/>
  <c r="MI9" i="4"/>
  <c r="MH9" i="4"/>
  <c r="MG9" i="4"/>
  <c r="MF9" i="4"/>
  <c r="ME9" i="4"/>
  <c r="MD9" i="4"/>
  <c r="MC9" i="4"/>
  <c r="MB9" i="4"/>
  <c r="MA9" i="4"/>
  <c r="LZ9" i="4"/>
  <c r="LY9" i="4"/>
  <c r="LX9" i="4"/>
  <c r="LW9" i="4"/>
  <c r="LV9" i="4"/>
  <c r="LU9" i="4"/>
  <c r="LT9" i="4"/>
  <c r="LS9" i="4"/>
  <c r="LR9" i="4"/>
  <c r="LQ9" i="4"/>
  <c r="LP9" i="4"/>
  <c r="LO9" i="4"/>
  <c r="LN9" i="4"/>
  <c r="LM9" i="4"/>
  <c r="LL9" i="4"/>
  <c r="LK9" i="4"/>
  <c r="LJ9" i="4"/>
  <c r="LI9" i="4"/>
  <c r="LH9" i="4"/>
  <c r="LG9" i="4"/>
  <c r="LF9" i="4"/>
  <c r="LE9" i="4"/>
  <c r="LD9" i="4"/>
  <c r="LC9" i="4"/>
  <c r="LB9" i="4"/>
  <c r="LA9" i="4"/>
  <c r="KZ9" i="4"/>
  <c r="KY9" i="4"/>
  <c r="KX9" i="4"/>
  <c r="KW9" i="4"/>
  <c r="KV9" i="4"/>
  <c r="KU9" i="4"/>
  <c r="KT9" i="4"/>
  <c r="KS9" i="4"/>
  <c r="KR9" i="4"/>
  <c r="KQ9" i="4"/>
  <c r="KP9" i="4"/>
  <c r="KO9" i="4"/>
  <c r="KN9" i="4"/>
  <c r="KM9" i="4"/>
  <c r="KL9" i="4"/>
  <c r="KK9" i="4"/>
  <c r="KJ9" i="4"/>
  <c r="KI9" i="4"/>
  <c r="KH9" i="4"/>
  <c r="KG9" i="4"/>
  <c r="KF9" i="4"/>
  <c r="KE9" i="4"/>
  <c r="KD9" i="4"/>
  <c r="KC9" i="4"/>
  <c r="KB9" i="4"/>
  <c r="KA9" i="4"/>
  <c r="JZ9" i="4"/>
  <c r="JY9" i="4"/>
  <c r="JX9" i="4"/>
  <c r="JW9" i="4"/>
  <c r="JV9" i="4"/>
  <c r="JU9" i="4"/>
  <c r="JT9" i="4"/>
  <c r="JS9" i="4"/>
  <c r="JR9" i="4"/>
  <c r="JQ9" i="4"/>
  <c r="JP9" i="4"/>
  <c r="JO9" i="4"/>
  <c r="JN9" i="4"/>
  <c r="JM9" i="4"/>
  <c r="JL9" i="4"/>
  <c r="JK9" i="4"/>
  <c r="JJ9" i="4"/>
  <c r="JI9" i="4"/>
  <c r="JH9" i="4"/>
  <c r="JG9" i="4"/>
  <c r="JF9" i="4"/>
  <c r="JE9" i="4"/>
  <c r="JD9" i="4"/>
  <c r="JC9" i="4"/>
  <c r="JB9" i="4"/>
  <c r="JA9" i="4"/>
  <c r="IZ9" i="4"/>
  <c r="IY9" i="4"/>
  <c r="IX9" i="4"/>
  <c r="IW9" i="4"/>
  <c r="IV9" i="4"/>
  <c r="IU9" i="4"/>
  <c r="IT9" i="4"/>
  <c r="IS9" i="4"/>
  <c r="IR9" i="4"/>
  <c r="IQ9" i="4"/>
  <c r="IP9" i="4"/>
  <c r="IO9" i="4"/>
  <c r="IN9" i="4"/>
  <c r="IM9" i="4"/>
  <c r="IL9" i="4"/>
  <c r="IK9" i="4"/>
  <c r="IJ9" i="4"/>
  <c r="II9" i="4"/>
  <c r="IH9" i="4"/>
  <c r="IG9" i="4"/>
  <c r="IF9" i="4"/>
  <c r="IE9" i="4"/>
  <c r="ID9" i="4"/>
  <c r="IC9" i="4"/>
  <c r="IB9" i="4"/>
  <c r="IA9" i="4"/>
  <c r="HZ9" i="4"/>
  <c r="HY9" i="4"/>
  <c r="HX9" i="4"/>
  <c r="HW9" i="4"/>
  <c r="HV9" i="4"/>
  <c r="HU9" i="4"/>
  <c r="HT9" i="4"/>
  <c r="HS9" i="4"/>
  <c r="HR9" i="4"/>
  <c r="HQ9" i="4"/>
  <c r="HP9" i="4"/>
  <c r="HO9" i="4"/>
  <c r="HN9" i="4"/>
  <c r="HM9" i="4"/>
  <c r="HL9" i="4"/>
  <c r="HK9" i="4"/>
  <c r="HJ9" i="4"/>
  <c r="HI9" i="4"/>
  <c r="HH9" i="4"/>
  <c r="HG9" i="4"/>
  <c r="HF9" i="4"/>
  <c r="HE9" i="4"/>
  <c r="HD9" i="4"/>
  <c r="HC9" i="4"/>
  <c r="HB9" i="4"/>
  <c r="HA9" i="4"/>
  <c r="GZ9" i="4"/>
  <c r="GY9" i="4"/>
  <c r="GX9" i="4"/>
  <c r="GW9" i="4"/>
  <c r="GV9" i="4"/>
  <c r="GU9" i="4"/>
  <c r="GT9" i="4"/>
  <c r="GS9" i="4"/>
  <c r="GR9" i="4"/>
  <c r="GQ9" i="4"/>
  <c r="GP9" i="4"/>
  <c r="GO9" i="4"/>
  <c r="GN9" i="4"/>
  <c r="GM9" i="4"/>
  <c r="GL9" i="4"/>
  <c r="GK9" i="4"/>
  <c r="GJ9" i="4"/>
  <c r="GI9" i="4"/>
  <c r="GH9" i="4"/>
  <c r="GG9" i="4"/>
  <c r="GF9" i="4"/>
  <c r="GE9" i="4"/>
  <c r="GD9" i="4"/>
  <c r="GC9" i="4"/>
  <c r="GB9" i="4"/>
  <c r="GA9" i="4"/>
  <c r="FZ9" i="4"/>
  <c r="FY9" i="4"/>
  <c r="FX9" i="4"/>
  <c r="FW9" i="4"/>
  <c r="FV9" i="4"/>
  <c r="FU9" i="4"/>
  <c r="FT9" i="4"/>
  <c r="FS9" i="4"/>
  <c r="FR9" i="4"/>
  <c r="FQ9" i="4"/>
  <c r="FP9" i="4"/>
  <c r="FO9" i="4"/>
  <c r="FN9" i="4"/>
  <c r="FM9" i="4"/>
  <c r="FL9" i="4"/>
  <c r="FK9" i="4"/>
  <c r="FJ9" i="4"/>
  <c r="FI9" i="4"/>
  <c r="FH9" i="4"/>
  <c r="FG9" i="4"/>
  <c r="FF9" i="4"/>
  <c r="FE9" i="4"/>
  <c r="FD9" i="4"/>
  <c r="FC9" i="4"/>
  <c r="FB9" i="4"/>
  <c r="FA9" i="4"/>
  <c r="EZ9" i="4"/>
  <c r="EY9" i="4"/>
  <c r="EX9" i="4"/>
  <c r="EW9" i="4"/>
  <c r="EV9" i="4"/>
  <c r="EU9" i="4"/>
  <c r="ET9" i="4"/>
  <c r="ES9" i="4"/>
  <c r="ER9" i="4"/>
  <c r="EQ9" i="4"/>
  <c r="EP9" i="4"/>
  <c r="EO9" i="4"/>
  <c r="EN9" i="4"/>
  <c r="EM9" i="4"/>
  <c r="EL9" i="4"/>
  <c r="EK9" i="4"/>
  <c r="EJ9" i="4"/>
  <c r="EI9" i="4"/>
  <c r="EH9" i="4"/>
  <c r="EG9" i="4"/>
  <c r="EF9" i="4"/>
  <c r="EE9" i="4"/>
  <c r="ED9" i="4"/>
  <c r="EC9" i="4"/>
  <c r="EB9" i="4"/>
  <c r="EA9" i="4"/>
  <c r="DZ9" i="4"/>
  <c r="DY9" i="4"/>
  <c r="DX9" i="4"/>
  <c r="DW9" i="4"/>
  <c r="DV9" i="4"/>
  <c r="DU9" i="4"/>
  <c r="DT9" i="4"/>
  <c r="DS9" i="4"/>
  <c r="DR9" i="4"/>
  <c r="DQ9" i="4"/>
  <c r="DP9" i="4"/>
  <c r="DO9" i="4"/>
  <c r="DN9" i="4"/>
  <c r="DM9" i="4"/>
  <c r="DL9" i="4"/>
  <c r="DK9" i="4"/>
  <c r="DJ9" i="4"/>
  <c r="DI9" i="4"/>
  <c r="DH9" i="4"/>
  <c r="DG9" i="4"/>
  <c r="DF9" i="4"/>
  <c r="DE9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B6" i="4" l="1"/>
</calcChain>
</file>

<file path=xl/sharedStrings.xml><?xml version="1.0" encoding="utf-8"?>
<sst xmlns="http://schemas.openxmlformats.org/spreadsheetml/2006/main" count="238" uniqueCount="128">
  <si>
    <t>Sábados Laborales</t>
  </si>
  <si>
    <t>NO</t>
  </si>
  <si>
    <t>Resumen de Actividades</t>
  </si>
  <si>
    <t>PENDIENTE</t>
  </si>
  <si>
    <t>EN PROCESO</t>
  </si>
  <si>
    <t>FINALIZADO</t>
  </si>
  <si>
    <t>Total Actividades</t>
  </si>
  <si>
    <t>Actividad</t>
  </si>
  <si>
    <t>Responsable</t>
  </si>
  <si>
    <t>Área</t>
  </si>
  <si>
    <t>Fecha Inicio</t>
  </si>
  <si>
    <t>Fecha Fin</t>
  </si>
  <si>
    <t>Horario</t>
  </si>
  <si>
    <t>ESTADO</t>
  </si>
  <si>
    <t>Definicion de Roles</t>
  </si>
  <si>
    <t>Coach</t>
  </si>
  <si>
    <t>Tecnica</t>
  </si>
  <si>
    <t>04-Mz</t>
  </si>
  <si>
    <t>31-mz</t>
  </si>
  <si>
    <t xml:space="preserve">Trabajo por Espacios </t>
  </si>
  <si>
    <t>Instrucciones de construcción de modelos de misiones</t>
  </si>
  <si>
    <t xml:space="preserve">Ajustes  de Proyecto Innovador </t>
  </si>
  <si>
    <t xml:space="preserve"> Inicio de investigación teórica y recolección de información base</t>
  </si>
  <si>
    <t>G. Investigador</t>
  </si>
  <si>
    <t>Programador del proyecto: Diseño inicial del sistema y arquitectura del software</t>
  </si>
  <si>
    <t>G. Programacion</t>
  </si>
  <si>
    <t>Evaluacion del Proceso</t>
  </si>
  <si>
    <t>Todos</t>
  </si>
  <si>
    <t>Retroalimentacion</t>
  </si>
  <si>
    <t>Programador de misiones (LEGO): Inicio del diseño de misiones (1 de abril)</t>
  </si>
  <si>
    <t>G.Jrobot</t>
  </si>
  <si>
    <t>Diseñador electrónico: Inicio del diseño de sensores y circuitos (15 de abril)</t>
  </si>
  <si>
    <t>G. Electronico</t>
  </si>
  <si>
    <t>Diseñador mecánico: Inicio del modelado estructural (1 de mayo)</t>
  </si>
  <si>
    <t>Diseñador visual: Inicio de diseño gráfico y branding (15 de mayo)</t>
  </si>
  <si>
    <t>Finaliza fase de documentación teórica (30 de junio)</t>
  </si>
  <si>
    <t>Investigador</t>
  </si>
  <si>
    <t>Inicio del desarrollo de “Water Guardians” (1 de junio)</t>
  </si>
  <si>
    <t>DVJuegos</t>
  </si>
  <si>
    <t>Desarrollo del software</t>
  </si>
  <si>
    <t>Dsoftware</t>
  </si>
  <si>
    <t>Desarrollo de Misiones</t>
  </si>
  <si>
    <t>Djrobot</t>
  </si>
  <si>
    <t>Desarrollo de Electroinica</t>
  </si>
  <si>
    <t>Desarrollo Documentacion</t>
  </si>
  <si>
    <t>Diseño Video juegos</t>
  </si>
  <si>
    <t>Finaliza fase de prototipado (15 de octubre)</t>
  </si>
  <si>
    <t>Finalizan sus diseños (30 de noviembre)</t>
  </si>
  <si>
    <t>Últimos ajustes y pruebas(15 Diciembre)</t>
  </si>
  <si>
    <t>Finaliza el juego interactivo (15 de enero)</t>
  </si>
  <si>
    <t>Revisión general del proyecto(1 feb - 28 Feb)</t>
  </si>
  <si>
    <t>Preparación de sustentación (1 al 31 de marzo)</t>
  </si>
  <si>
    <r>
      <t>Ensayos generales y últimos ajustes:</t>
    </r>
    <r>
      <rPr>
        <sz val="11"/>
        <color theme="1"/>
        <rFont val="Calibri"/>
        <family val="2"/>
        <scheme val="minor"/>
      </rPr>
      <t xml:space="preserve"> 1 al 10 de abril</t>
    </r>
  </si>
  <si>
    <t>A. Desarrollo Tecnológico – Mangleye</t>
  </si>
  <si>
    <t>Concepto</t>
  </si>
  <si>
    <t>Detalle</t>
  </si>
  <si>
    <t>Valor (COP)</t>
  </si>
  <si>
    <t>Diseño y construcción del submarino</t>
  </si>
  <si>
    <t>Materiales, impermeabilización, carcasa, impresión 3D</t>
  </si>
  <si>
    <t>Sensores ambientales</t>
  </si>
  <si>
    <t>pH, temperatura, turbidez, etc.</t>
  </si>
  <si>
    <t>Módulos electrónicos</t>
  </si>
  <si>
    <t>Arduino, Mega, Jetson TK1</t>
  </si>
  <si>
    <t>Desarrollo de software</t>
  </si>
  <si>
    <t>Integración de sensores, base de datos, dashboard, predicciones</t>
  </si>
  <si>
    <t>Base de datos y servidores</t>
  </si>
  <si>
    <t>MongoDB, phpMyAdmin, servicios en la nube</t>
  </si>
  <si>
    <t>Plataforma de análisis</t>
  </si>
  <si>
    <t>Power BI, creación de Data Lakes, licencias</t>
  </si>
  <si>
    <t>Subtotal Mangleye</t>
  </si>
  <si>
    <t>B. Talento Humano</t>
  </si>
  <si>
    <t>Cargo</t>
  </si>
  <si>
    <t>Tiempo / Función</t>
  </si>
  <si>
    <t>Ingeniero Acuícola</t>
  </si>
  <si>
    <t>Asesoramiento técnico en siembra</t>
  </si>
  <si>
    <t>Ingeniero Electrónico</t>
  </si>
  <si>
    <t>Desarrollo e integración de hardware</t>
  </si>
  <si>
    <t>Desarrollador Full Stack</t>
  </si>
  <si>
    <t>Backend, frontend y base de datos</t>
  </si>
  <si>
    <t>Diseñador UI/UX</t>
  </si>
  <si>
    <t>Visual del dashboard y juego infantil</t>
  </si>
  <si>
    <t>Biólogo Marino</t>
  </si>
  <si>
    <t>Validación científica del sistema</t>
  </si>
  <si>
    <t>Educador ambiental / gamificador</t>
  </si>
  <si>
    <t>Diseño de narrativa y juego infantil</t>
  </si>
  <si>
    <t>Coordinador del proyecto</t>
  </si>
  <si>
    <t>Dirección y gestión de entregables</t>
  </si>
  <si>
    <t>Subtotal Talento Humano</t>
  </si>
  <si>
    <t xml:space="preserve"> C. Operación y Logística</t>
  </si>
  <si>
    <t>Transporte a campo</t>
  </si>
  <si>
    <t>Tumaco, visitas técnicas, traslados de equipo</t>
  </si>
  <si>
    <t>Hospedaje y alimentación</t>
  </si>
  <si>
    <t>Equipo técnico durante las misiones</t>
  </si>
  <si>
    <t>Equipos de protección y herramientas</t>
  </si>
  <si>
    <t>Botas, guantes, sensores manuales, medidores</t>
  </si>
  <si>
    <t>Costos legales y permisos ambientales</t>
  </si>
  <si>
    <t>Trámites y autorizaciones</t>
  </si>
  <si>
    <t>Seguros y contingencias</t>
  </si>
  <si>
    <t>Cobertura de riesgo de equipos y personal</t>
  </si>
  <si>
    <t>Subtotal Operación</t>
  </si>
  <si>
    <t>D. Desarrollo de Water Guardians (Juego Educativo)</t>
  </si>
  <si>
    <t>Desarrollo del videojuego</t>
  </si>
  <si>
    <t>Motor de juego, programación, diseño</t>
  </si>
  <si>
    <t>Ilustraciones y animaciones</t>
  </si>
  <si>
    <t>Personajes, escenarios, interfaz</t>
  </si>
  <si>
    <t>Pruebas con usuarios (niños)</t>
  </si>
  <si>
    <t>Pilotos, evaluaciones, ajustes pedagógicos</t>
  </si>
  <si>
    <t>Hosting y mantenimiento</t>
  </si>
  <si>
    <t>Servidores, soporte y actualizaciones</t>
  </si>
  <si>
    <t>Subtotal Water Guardians</t>
  </si>
  <si>
    <t>E. Administración y Otros Gastos</t>
  </si>
  <si>
    <t>Gastos administrativos</t>
  </si>
  <si>
    <t>Papelería, gestión de proveedores, energia, agua, telefono</t>
  </si>
  <si>
    <t>Comunicación y divulgación</t>
  </si>
  <si>
    <t>Video promocional, redes sociales, talleres</t>
  </si>
  <si>
    <t>Evaluación y seguimiento</t>
  </si>
  <si>
    <t>Indicadores de impacto, reportes</t>
  </si>
  <si>
    <t>Subtotal Administración</t>
  </si>
  <si>
    <t>Resumen General</t>
  </si>
  <si>
    <t>Categoría</t>
  </si>
  <si>
    <t>Desarrollo Tecnológico (Mangleye)</t>
  </si>
  <si>
    <t>Talento Humano</t>
  </si>
  <si>
    <t>Operación y Logística</t>
  </si>
  <si>
    <t>Desarrollo Juego (Water Guardians)</t>
  </si>
  <si>
    <t>Administración y Otros</t>
  </si>
  <si>
    <t>Total Estimado</t>
  </si>
  <si>
    <t>+ Reserva (15%)</t>
  </si>
  <si>
    <t>TOTAL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</si>
</sst>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dd/mmm"/>
    <numFmt numFmtId="165" formatCode=";;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Lato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Lato"/>
      <family val="2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8" tint="0.59999389629810485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EFAC6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 shrinkToFit="1"/>
    </xf>
    <xf numFmtId="16" fontId="5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2" borderId="1" xfId="0" applyFont="1" applyFill="1" applyBorder="1"/>
    <xf numFmtId="0" fontId="7" fillId="0" borderId="1" xfId="0" applyFont="1" applyBorder="1" applyAlignment="1">
      <alignment horizontal="center" vertical="center"/>
    </xf>
    <xf numFmtId="0" fontId="1" fillId="5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6" borderId="1" xfId="0" applyFont="1" applyFill="1" applyBorder="1"/>
    <xf numFmtId="0" fontId="1" fillId="0" borderId="8" xfId="0" applyFont="1" applyBorder="1" applyAlignment="1">
      <alignment horizontal="center" vertical="center" shrinkToFit="1"/>
    </xf>
    <xf numFmtId="16" fontId="1" fillId="0" borderId="8" xfId="0" applyNumberFormat="1" applyFont="1" applyBorder="1" applyAlignment="1">
      <alignment horizontal="center" vertical="center" shrinkToFit="1"/>
    </xf>
    <xf numFmtId="16" fontId="7" fillId="4" borderId="8" xfId="0" applyNumberFormat="1" applyFont="1" applyFill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 shrinkToFit="1"/>
    </xf>
    <xf numFmtId="16" fontId="1" fillId="0" borderId="9" xfId="0" applyNumberFormat="1" applyFont="1" applyBorder="1" applyAlignment="1">
      <alignment horizontal="center" vertical="center" shrinkToFit="1"/>
    </xf>
    <xf numFmtId="16" fontId="7" fillId="4" borderId="9" xfId="0" applyNumberFormat="1" applyFont="1" applyFill="1" applyBorder="1" applyAlignment="1">
      <alignment horizontal="center" vertical="center" shrinkToFit="1"/>
    </xf>
    <xf numFmtId="0" fontId="0" fillId="8" borderId="0" xfId="0" applyFill="1"/>
    <xf numFmtId="165" fontId="0" fillId="8" borderId="0" xfId="0" applyNumberFormat="1" applyFill="1"/>
    <xf numFmtId="0" fontId="1" fillId="0" borderId="9" xfId="0" applyFont="1" applyBorder="1" applyAlignment="1">
      <alignment horizontal="center" vertical="center" wrapText="1" shrinkToFit="1"/>
    </xf>
    <xf numFmtId="20" fontId="1" fillId="0" borderId="8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6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  <xf numFmtId="6" fontId="5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/>
    </xf>
    <xf numFmtId="0" fontId="5" fillId="0" borderId="0" xfId="0" quotePrefix="1" applyFont="1" applyAlignment="1">
      <alignment vertical="center" wrapText="1"/>
    </xf>
    <xf numFmtId="0" fontId="0" fillId="9" borderId="9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20" fontId="1" fillId="0" borderId="9" xfId="0" applyNumberFormat="1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0" fillId="0" borderId="1" xfId="0" applyBorder="1"/>
    <xf numFmtId="0" fontId="5" fillId="0" borderId="1" xfId="0" applyFont="1" applyBorder="1"/>
    <xf numFmtId="0" fontId="0" fillId="14" borderId="9" xfId="0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</cellXfs>
  <cellStyles count="4">
    <cellStyle name="Hipervínculo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</cellStyles>
  <dxfs count="14"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9" tint="0.40000610370189521"/>
          </stop>
          <stop position="1">
            <color theme="9" tint="-0.25098422193060094"/>
          </stop>
        </gradientFill>
      </fill>
    </dxf>
    <dxf>
      <fill>
        <patternFill patternType="lightDown">
          <fgColor rgb="FFFF0000"/>
          <bgColor theme="0" tint="-4.9989318521683403E-2"/>
        </patternFill>
      </fill>
    </dxf>
    <dxf>
      <fill>
        <gradientFill degree="90">
          <stop position="0">
            <color theme="9" tint="0.40000610370189521"/>
          </stop>
          <stop position="1">
            <color theme="9" tint="-0.25098422193060094"/>
          </stop>
        </gradientFill>
      </fill>
    </dxf>
    <dxf>
      <fill>
        <patternFill patternType="lightDown">
          <fgColor rgb="FFFF0000"/>
          <bgColor theme="0" tint="-4.9989318521683403E-2"/>
        </patternFill>
      </fill>
    </dxf>
    <dxf>
      <fill>
        <gradientFill degree="90">
          <stop position="0">
            <color theme="9" tint="0.40000610370189521"/>
          </stop>
          <stop position="1">
            <color theme="9" tint="-0.25098422193060094"/>
          </stop>
        </gradientFill>
      </fill>
    </dxf>
    <dxf>
      <fill>
        <patternFill patternType="lightDown">
          <fgColor rgb="FFFF0000"/>
          <bgColor theme="0" tint="-4.9989318521683403E-2"/>
        </patternFill>
      </fill>
    </dxf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CCCCFF"/>
      <color rgb="FFFEFAC6"/>
      <color rgb="FFFFCCFF"/>
      <color rgb="FF548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254804</xdr:colOff>
      <xdr:row>1</xdr:row>
      <xdr:rowOff>220158</xdr:rowOff>
    </xdr:from>
    <xdr:to>
      <xdr:col>266</xdr:col>
      <xdr:colOff>111085</xdr:colOff>
      <xdr:row>4</xdr:row>
      <xdr:rowOff>93804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1F801754-6B93-4D4D-AE46-BED52F277C36}"/>
            </a:ext>
          </a:extLst>
        </xdr:cNvPr>
        <xdr:cNvSpPr/>
      </xdr:nvSpPr>
      <xdr:spPr>
        <a:xfrm>
          <a:off x="6267978" y="468636"/>
          <a:ext cx="8660694" cy="619081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s-ES" sz="2400" b="1">
              <a:solidFill>
                <a:schemeClr val="bg1"/>
              </a:solidFill>
              <a:latin typeface="Lato" panose="020F0502020204030203" pitchFamily="34" charset="0"/>
              <a:ea typeface="+mn-ea"/>
              <a:cs typeface="Arial" panose="020B0604020202020204" pitchFamily="34" charset="0"/>
            </a:rPr>
            <a:t>CLUB</a:t>
          </a:r>
          <a:r>
            <a:rPr lang="es-ES" sz="2400" b="1" baseline="0">
              <a:solidFill>
                <a:schemeClr val="bg1"/>
              </a:solidFill>
              <a:latin typeface="Lato" panose="020F0502020204030203" pitchFamily="34" charset="0"/>
              <a:ea typeface="+mn-ea"/>
              <a:cs typeface="Arial" panose="020B0604020202020204" pitchFamily="34" charset="0"/>
            </a:rPr>
            <a:t> DE ROBOTICA EVENTOS 2023-2024</a:t>
          </a:r>
          <a:endParaRPr lang="es-ES" sz="2800" b="1">
            <a:solidFill>
              <a:schemeClr val="bg1"/>
            </a:solidFill>
            <a:latin typeface="Lato" panose="020F0502020204030203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262</xdr:col>
      <xdr:colOff>41343</xdr:colOff>
      <xdr:row>0</xdr:row>
      <xdr:rowOff>0</xdr:rowOff>
    </xdr:from>
    <xdr:to>
      <xdr:col>264</xdr:col>
      <xdr:colOff>362697</xdr:colOff>
      <xdr:row>5</xdr:row>
      <xdr:rowOff>193345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4FE7405-6516-E2C9-6F75-E1BF21B10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0486" y="0"/>
          <a:ext cx="1264782" cy="14333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TEMP/notesFFF692/SDR%20v4%20Tipiel-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TEMP/notesFFF692/DFI-PNF-FTF-BA-Programa%20de%20Trabajo%20-%20Mejora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SSD_DATOS/Mac/Documents/EXCELPARATODOS/PLANTILLAS/15.%20Plantilla_Plan_Viabilidad_Proyecto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virginia.duque/My%20Documents/Downloads/P%2017%20-F01-%20Lista%20de%20chequeo%20arrendamientos%20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.psf/Home/Documents%20and%20Settings/vduque/Escritorio/EXCEL%20AVANZADO/prestamo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ARRAHONDO%20&amp;%20PRADA.LARRAHONDO/Dropbox/Informacion/DFI-PNF-FTF-BA-Programa%20de%20Trabajo%20-%20Inventarios%20VF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arolina.canas/My%20Documents/01%20Grupo%20EPM/16%20Balance%20de%20apertura/Programas%20de%20trabajo/07%20Activos%20fijos/DFI-PNF-FTF-BA-Programa%20de%20Trabajo%20-%20Activos%20en%20tr&#225;nsit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arolina.canas/My%20Documents/01%20Grupo%20EPM/16%20Balance%20de%20apertura/Programas%20de%20trabajo/06%20Subvenciones/DFI-PNF-FTF-BA-Programa%20de%20Trabajo%20-%20Subvencion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SSD_DATOS/Mac/Documents/EXCELPARATODOS/PLANTILLAS/34.%20Plantilla%20Tablero%20Kanban%20PREMIU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formación general"/>
      <sheetName val="Cálculo Cuotas GC"/>
      <sheetName val="Cálculo Cuotas"/>
      <sheetName val="Parámetros"/>
      <sheetName val="Datos Generales"/>
      <sheetName val="Conocimiento del Cliente"/>
      <sheetName val="Ajustes por Inflación"/>
      <sheetName val="Patrimonio"/>
      <sheetName val="Ingresos"/>
      <sheetName val="Costos y Deducciones"/>
      <sheetName val="Otros"/>
      <sheetName val="Comparativo de Cifras"/>
      <sheetName val="Formulario 2010 Eng"/>
      <sheetName val="Formulario 2010"/>
      <sheetName val="Comparación Patrimonial"/>
      <sheetName val="Conciliación del Patrimonio"/>
      <sheetName val="Conc. Gral. del Patrimonio"/>
      <sheetName val="Conc. Renta Líquida"/>
      <sheetName val="Conc. Gral. Renta"/>
      <sheetName val="Renglón 33"/>
      <sheetName val="Renglón 34A"/>
      <sheetName val="Renglón 34B"/>
      <sheetName val="Renglón 34C"/>
      <sheetName val="Renglón 34D"/>
      <sheetName val="Renglón 35"/>
      <sheetName val="Renglón 36"/>
      <sheetName val="Renglón 37A"/>
      <sheetName val="Renglón 37B"/>
      <sheetName val="Renglón 37C"/>
      <sheetName val="Renglón 37D"/>
      <sheetName val="Renglón 37E"/>
      <sheetName val="Renglón 37F"/>
      <sheetName val="Renglón 38"/>
      <sheetName val="Renglón 40A"/>
      <sheetName val="Renglón 40B"/>
      <sheetName val="Renglón 40C"/>
      <sheetName val="Renglón 40D"/>
      <sheetName val="Renglón 40E"/>
      <sheetName val="Renglón 40F"/>
      <sheetName val="Renglón 40G"/>
      <sheetName val="Renglón 42"/>
      <sheetName val="Renglón 43A"/>
      <sheetName val="Renglón 43B"/>
      <sheetName val="Renglón 43C"/>
      <sheetName val="Renglón 44"/>
      <sheetName val="Renglón 46"/>
      <sheetName val="Renglón 47"/>
      <sheetName val="Renglón 49"/>
      <sheetName val="Renglón 50"/>
      <sheetName val="Renglón 52A"/>
      <sheetName val="Renglón 52B"/>
      <sheetName val="Renglón 52C"/>
      <sheetName val="Renglón 52D"/>
      <sheetName val="Renglón 52E"/>
      <sheetName val="Renglón 53A"/>
      <sheetName val="Renglón 53B"/>
      <sheetName val="Renglón 53C"/>
      <sheetName val="Renglón 53D"/>
      <sheetName val="Renglón 53E"/>
      <sheetName val="Renglón 54"/>
      <sheetName val="Renglón 55"/>
      <sheetName val="Reclasificaciones y adiciones"/>
      <sheetName val="Cartera"/>
      <sheetName val="Venta de activos fijos"/>
      <sheetName val="Pagos"/>
      <sheetName val="Config. Usuarios"/>
      <sheetName val="Config. Vencimientos"/>
      <sheetName val="Config. PAAG"/>
      <sheetName val="Reajustes fiscales opcionales"/>
      <sheetName val="INCRNGO"/>
      <sheetName val="Divid no Grav."/>
      <sheetName val="Base Aportes Causados"/>
      <sheetName val="Base Aportes Pagados"/>
      <sheetName val="Pensiones de Jubilación"/>
      <sheetName val="Dep. y Amort. Diferida"/>
      <sheetName val="Pagos al exterior"/>
      <sheetName val="Donaciones"/>
      <sheetName val="Pagos ICA"/>
      <sheetName val="Pagos Predial"/>
      <sheetName val="Grav Mov Financieros"/>
      <sheetName val="Resumen Impuestos"/>
      <sheetName val="Conciliación Ing. Declaraciones"/>
      <sheetName val="Activos Fijos Reales"/>
      <sheetName val="Limitaciones"/>
      <sheetName val="Lim Gtos Exterior"/>
      <sheetName val="Lim Donaciones"/>
      <sheetName val="Lim Invest Cient Tec"/>
      <sheetName val="Lim Inv Medio Ambiente"/>
      <sheetName val="Lim Gtos Publicidad"/>
      <sheetName val="Compensaciones"/>
      <sheetName val="Distribución de Utilidades"/>
      <sheetName val="Intereses presuntos"/>
      <sheetName val="Renta Presuntiva"/>
      <sheetName val="Rentas Exentas"/>
      <sheetName val="Recup Deducciones"/>
      <sheetName val="Liquidación del Impuesto"/>
      <sheetName val="Dctos Tributarios"/>
      <sheetName val="Remesas"/>
      <sheetName val="Anticipo de Renta 2010"/>
      <sheetName val="Datos fiscales"/>
      <sheetName val="Asign. Cuentas PUC"/>
      <sheetName val="Estados Financieros"/>
      <sheetName val="Mov Pas Est y Prov"/>
      <sheetName val="Balance"/>
      <sheetName val="Configuración"/>
      <sheetName val="Cifras contables y fiscales"/>
      <sheetName val="PUC"/>
      <sheetName val="RENGLONES"/>
      <sheetName val="INICIO SD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.COR.001"/>
      <sheetName val="PT.COO.001.H1"/>
      <sheetName val="Listas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N17-01"/>
      <sheetName val="FN17-01 A"/>
      <sheetName val="FN17-02"/>
      <sheetName val="FN17-03"/>
      <sheetName val="FN17-04"/>
      <sheetName val="FN17-05"/>
      <sheetName val="Dato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13"/>
      <sheetName val="Ej10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.COO.001"/>
      <sheetName val="PT.COO.001.H1"/>
      <sheetName val="PT.COO.001.H2"/>
      <sheetName val="PT.COO.001.H3"/>
      <sheetName val="PT.COO.001.H4"/>
      <sheetName val="PT.COO.001.H5"/>
      <sheetName val="Listas"/>
      <sheetName val="Lis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.ALV.003"/>
      <sheetName val="PT.ALV.003.H1"/>
      <sheetName val="PT.ALV.003.H2"/>
      <sheetName val="Listas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.COO.001"/>
      <sheetName val="PT.COO.001.H1"/>
      <sheetName val="PT.COO.001.H2"/>
      <sheetName val="PT.COO.001.H3"/>
      <sheetName val="PT.COR.001.H4"/>
      <sheetName val="PT.COO.001.H5"/>
      <sheetName val="PT.COO.001.H6"/>
      <sheetName val="PT.COO.001.H7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I52"/>
  <sheetViews>
    <sheetView showGridLines="0" zoomScale="115" zoomScaleNormal="115" workbookViewId="0">
      <pane xSplit="7" ySplit="9" topLeftCell="KI19" activePane="bottomRight" state="frozen"/>
      <selection pane="topRight" activeCell="H1" sqref="H1"/>
      <selection pane="bottomLeft" activeCell="A18" sqref="A18"/>
      <selection pane="bottomRight" activeCell="KU24" sqref="KU24"/>
    </sheetView>
  </sheetViews>
  <sheetFormatPr baseColWidth="10" defaultColWidth="0" defaultRowHeight="15" zeroHeight="1" x14ac:dyDescent="0.25"/>
  <cols>
    <col min="1" max="1" width="45.140625" customWidth="1"/>
    <col min="2" max="2" width="15.7109375" customWidth="1"/>
    <col min="3" max="3" width="14.28515625" customWidth="1"/>
    <col min="4" max="4" width="7.85546875" customWidth="1"/>
    <col min="5" max="5" width="7.140625" customWidth="1"/>
    <col min="6" max="6" width="9.85546875" customWidth="1"/>
    <col min="7" max="7" width="14.85546875" bestFit="1" customWidth="1"/>
    <col min="8" max="250" width="6.7109375" hidden="1" customWidth="1"/>
    <col min="251" max="371" width="6.7109375" customWidth="1"/>
    <col min="372" max="372" width="5.140625" customWidth="1"/>
    <col min="373" max="373" width="0" hidden="1" customWidth="1"/>
    <col min="374" max="16384" width="11.42578125" hidden="1"/>
  </cols>
  <sheetData>
    <row r="1" spans="1:372" ht="19.5" x14ac:dyDescent="0.4">
      <c r="A1" s="7" t="s">
        <v>0</v>
      </c>
      <c r="B1" s="8" t="s">
        <v>1</v>
      </c>
      <c r="C1" s="51" t="str">
        <f>IF(SUM($F$8:$F$40)&gt;0,"ERROR EN FECHAS","")</f>
        <v>ERROR EN FECHAS</v>
      </c>
      <c r="D1" s="51"/>
      <c r="E1" s="51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</row>
    <row r="2" spans="1:372" ht="19.5" x14ac:dyDescent="0.4">
      <c r="A2" s="48" t="s">
        <v>2</v>
      </c>
      <c r="B2" s="48"/>
      <c r="C2" s="51"/>
      <c r="D2" s="51"/>
      <c r="E2" s="51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</row>
    <row r="3" spans="1:372" ht="19.5" x14ac:dyDescent="0.4">
      <c r="A3" s="9" t="s">
        <v>3</v>
      </c>
      <c r="B3" s="10">
        <f>COUNTIF($G$8:$G$1048576,A3)</f>
        <v>0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</row>
    <row r="4" spans="1:372" ht="19.5" x14ac:dyDescent="0.4">
      <c r="A4" s="11" t="s">
        <v>4</v>
      </c>
      <c r="B4" s="10">
        <f>COUNTIF($G$8:$G$1048576,A4)</f>
        <v>0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</row>
    <row r="5" spans="1:372" ht="19.5" x14ac:dyDescent="0.4">
      <c r="A5" s="12" t="s">
        <v>5</v>
      </c>
      <c r="B5" s="10">
        <f>COUNTIF($G$8:$G$1048576,A5)</f>
        <v>27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</row>
    <row r="6" spans="1:372" ht="19.5" x14ac:dyDescent="0.4">
      <c r="A6" s="7" t="s">
        <v>6</v>
      </c>
      <c r="B6" s="7">
        <f>SUM(B3:B5)</f>
        <v>27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</row>
    <row r="7" spans="1:372" x14ac:dyDescent="0.25">
      <c r="A7" s="19"/>
      <c r="B7" s="19"/>
      <c r="C7" s="19"/>
      <c r="D7" s="19"/>
      <c r="E7" s="19"/>
      <c r="F7" s="19"/>
      <c r="G7" s="19"/>
      <c r="H7" s="20">
        <f t="shared" ref="H7:BS7" si="0">+IF($B$1="SI",IF(OR(WEEKDAY(H8,2)=6,WEEKDAY(H8,2)=7),1,IF(WEEKDAY(H8,2)=7,1,0)),IF(WEEKDAY(H8,2)=7,1,0))</f>
        <v>1</v>
      </c>
      <c r="I7" s="20">
        <f t="shared" si="0"/>
        <v>0</v>
      </c>
      <c r="J7" s="20">
        <f t="shared" si="0"/>
        <v>0</v>
      </c>
      <c r="K7" s="20">
        <f t="shared" si="0"/>
        <v>0</v>
      </c>
      <c r="L7" s="20">
        <f t="shared" si="0"/>
        <v>0</v>
      </c>
      <c r="M7" s="20">
        <f t="shared" si="0"/>
        <v>0</v>
      </c>
      <c r="N7" s="20">
        <f t="shared" si="0"/>
        <v>0</v>
      </c>
      <c r="O7" s="20">
        <f t="shared" si="0"/>
        <v>1</v>
      </c>
      <c r="P7" s="20">
        <f t="shared" si="0"/>
        <v>0</v>
      </c>
      <c r="Q7" s="20">
        <f t="shared" si="0"/>
        <v>0</v>
      </c>
      <c r="R7" s="20">
        <f t="shared" si="0"/>
        <v>0</v>
      </c>
      <c r="S7" s="20">
        <f t="shared" si="0"/>
        <v>0</v>
      </c>
      <c r="T7" s="20">
        <f t="shared" si="0"/>
        <v>0</v>
      </c>
      <c r="U7" s="20">
        <f t="shared" si="0"/>
        <v>0</v>
      </c>
      <c r="V7" s="20">
        <f t="shared" si="0"/>
        <v>1</v>
      </c>
      <c r="W7" s="20">
        <f t="shared" si="0"/>
        <v>0</v>
      </c>
      <c r="X7" s="20">
        <f t="shared" si="0"/>
        <v>0</v>
      </c>
      <c r="Y7" s="20">
        <f t="shared" si="0"/>
        <v>0</v>
      </c>
      <c r="Z7" s="20">
        <f t="shared" si="0"/>
        <v>0</v>
      </c>
      <c r="AA7" s="20">
        <f t="shared" si="0"/>
        <v>0</v>
      </c>
      <c r="AB7" s="20">
        <f t="shared" si="0"/>
        <v>0</v>
      </c>
      <c r="AC7" s="20">
        <f t="shared" si="0"/>
        <v>1</v>
      </c>
      <c r="AD7" s="20">
        <f t="shared" si="0"/>
        <v>0</v>
      </c>
      <c r="AE7" s="20">
        <f t="shared" si="0"/>
        <v>0</v>
      </c>
      <c r="AF7" s="20">
        <f t="shared" si="0"/>
        <v>0</v>
      </c>
      <c r="AG7" s="20">
        <f t="shared" si="0"/>
        <v>0</v>
      </c>
      <c r="AH7" s="20">
        <f t="shared" si="0"/>
        <v>0</v>
      </c>
      <c r="AI7" s="20">
        <f t="shared" si="0"/>
        <v>0</v>
      </c>
      <c r="AJ7" s="20">
        <f t="shared" si="0"/>
        <v>1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O7" s="20">
        <f t="shared" si="0"/>
        <v>0</v>
      </c>
      <c r="AP7" s="20">
        <f t="shared" si="0"/>
        <v>0</v>
      </c>
      <c r="AQ7" s="20">
        <f t="shared" si="0"/>
        <v>1</v>
      </c>
      <c r="AR7" s="20">
        <f t="shared" si="0"/>
        <v>0</v>
      </c>
      <c r="AS7" s="20">
        <f t="shared" si="0"/>
        <v>0</v>
      </c>
      <c r="AT7" s="20">
        <f t="shared" si="0"/>
        <v>0</v>
      </c>
      <c r="AU7" s="20">
        <f t="shared" si="0"/>
        <v>0</v>
      </c>
      <c r="AV7" s="20">
        <f t="shared" si="0"/>
        <v>0</v>
      </c>
      <c r="AW7" s="20">
        <f t="shared" si="0"/>
        <v>0</v>
      </c>
      <c r="AX7" s="20">
        <f t="shared" si="0"/>
        <v>1</v>
      </c>
      <c r="AY7" s="20">
        <f t="shared" si="0"/>
        <v>0</v>
      </c>
      <c r="AZ7" s="20">
        <f t="shared" si="0"/>
        <v>0</v>
      </c>
      <c r="BA7" s="20">
        <f t="shared" si="0"/>
        <v>0</v>
      </c>
      <c r="BB7" s="20">
        <f t="shared" si="0"/>
        <v>0</v>
      </c>
      <c r="BC7" s="20">
        <f t="shared" si="0"/>
        <v>0</v>
      </c>
      <c r="BD7" s="20">
        <f t="shared" si="0"/>
        <v>0</v>
      </c>
      <c r="BE7" s="20">
        <f t="shared" si="0"/>
        <v>1</v>
      </c>
      <c r="BF7" s="20">
        <f t="shared" si="0"/>
        <v>0</v>
      </c>
      <c r="BG7" s="20">
        <f t="shared" si="0"/>
        <v>0</v>
      </c>
      <c r="BH7" s="20">
        <f t="shared" si="0"/>
        <v>0</v>
      </c>
      <c r="BI7" s="20">
        <f t="shared" si="0"/>
        <v>0</v>
      </c>
      <c r="BJ7" s="20">
        <f t="shared" si="0"/>
        <v>0</v>
      </c>
      <c r="BK7" s="20">
        <f t="shared" si="0"/>
        <v>0</v>
      </c>
      <c r="BL7" s="20">
        <f t="shared" si="0"/>
        <v>1</v>
      </c>
      <c r="BM7" s="20">
        <f t="shared" si="0"/>
        <v>0</v>
      </c>
      <c r="BN7" s="20">
        <f t="shared" si="0"/>
        <v>0</v>
      </c>
      <c r="BO7" s="20">
        <f t="shared" si="0"/>
        <v>0</v>
      </c>
      <c r="BP7" s="20">
        <f t="shared" si="0"/>
        <v>0</v>
      </c>
      <c r="BQ7" s="20">
        <f t="shared" si="0"/>
        <v>0</v>
      </c>
      <c r="BR7" s="20">
        <f t="shared" si="0"/>
        <v>0</v>
      </c>
      <c r="BS7" s="20">
        <f t="shared" si="0"/>
        <v>1</v>
      </c>
      <c r="BT7" s="20">
        <f t="shared" ref="BT7:EE7" si="1">+IF($B$1="SI",IF(OR(WEEKDAY(BT8,2)=6,WEEKDAY(BT8,2)=7),1,IF(WEEKDAY(BT8,2)=7,1,0)),IF(WEEKDAY(BT8,2)=7,1,0))</f>
        <v>0</v>
      </c>
      <c r="BU7" s="20">
        <f t="shared" si="1"/>
        <v>0</v>
      </c>
      <c r="BV7" s="20">
        <f t="shared" si="1"/>
        <v>0</v>
      </c>
      <c r="BW7" s="20">
        <f t="shared" si="1"/>
        <v>0</v>
      </c>
      <c r="BX7" s="20">
        <f t="shared" si="1"/>
        <v>0</v>
      </c>
      <c r="BY7" s="20">
        <f t="shared" si="1"/>
        <v>0</v>
      </c>
      <c r="BZ7" s="20">
        <f t="shared" si="1"/>
        <v>1</v>
      </c>
      <c r="CA7" s="20">
        <f t="shared" si="1"/>
        <v>0</v>
      </c>
      <c r="CB7" s="20">
        <f t="shared" si="1"/>
        <v>0</v>
      </c>
      <c r="CC7" s="20">
        <f t="shared" si="1"/>
        <v>0</v>
      </c>
      <c r="CD7" s="20">
        <f t="shared" si="1"/>
        <v>0</v>
      </c>
      <c r="CE7" s="20">
        <f t="shared" si="1"/>
        <v>0</v>
      </c>
      <c r="CF7" s="20">
        <f t="shared" si="1"/>
        <v>0</v>
      </c>
      <c r="CG7" s="20">
        <f t="shared" si="1"/>
        <v>1</v>
      </c>
      <c r="CH7" s="20">
        <f t="shared" si="1"/>
        <v>0</v>
      </c>
      <c r="CI7" s="20">
        <f t="shared" si="1"/>
        <v>0</v>
      </c>
      <c r="CJ7" s="20">
        <f t="shared" si="1"/>
        <v>0</v>
      </c>
      <c r="CK7" s="20">
        <f t="shared" si="1"/>
        <v>0</v>
      </c>
      <c r="CL7" s="20">
        <f t="shared" si="1"/>
        <v>0</v>
      </c>
      <c r="CM7" s="20">
        <f t="shared" si="1"/>
        <v>0</v>
      </c>
      <c r="CN7" s="20">
        <f t="shared" si="1"/>
        <v>1</v>
      </c>
      <c r="CO7" s="20">
        <f t="shared" si="1"/>
        <v>0</v>
      </c>
      <c r="CP7" s="20">
        <f t="shared" si="1"/>
        <v>0</v>
      </c>
      <c r="CQ7" s="20">
        <f t="shared" si="1"/>
        <v>0</v>
      </c>
      <c r="CR7" s="20">
        <f t="shared" si="1"/>
        <v>0</v>
      </c>
      <c r="CS7" s="20">
        <f t="shared" si="1"/>
        <v>0</v>
      </c>
      <c r="CT7" s="20">
        <f t="shared" si="1"/>
        <v>0</v>
      </c>
      <c r="CU7" s="20">
        <f t="shared" si="1"/>
        <v>1</v>
      </c>
      <c r="CV7" s="20">
        <f t="shared" si="1"/>
        <v>0</v>
      </c>
      <c r="CW7" s="20">
        <f t="shared" si="1"/>
        <v>0</v>
      </c>
      <c r="CX7" s="20">
        <f t="shared" si="1"/>
        <v>0</v>
      </c>
      <c r="CY7" s="20">
        <f t="shared" si="1"/>
        <v>0</v>
      </c>
      <c r="CZ7" s="20">
        <f t="shared" si="1"/>
        <v>0</v>
      </c>
      <c r="DA7" s="20">
        <f t="shared" si="1"/>
        <v>0</v>
      </c>
      <c r="DB7" s="20">
        <f t="shared" si="1"/>
        <v>1</v>
      </c>
      <c r="DC7" s="20">
        <f t="shared" si="1"/>
        <v>0</v>
      </c>
      <c r="DD7" s="20">
        <f t="shared" si="1"/>
        <v>0</v>
      </c>
      <c r="DE7" s="20">
        <f t="shared" si="1"/>
        <v>0</v>
      </c>
      <c r="DF7" s="20">
        <f t="shared" si="1"/>
        <v>0</v>
      </c>
      <c r="DG7" s="20">
        <f t="shared" si="1"/>
        <v>0</v>
      </c>
      <c r="DH7" s="20">
        <f t="shared" si="1"/>
        <v>0</v>
      </c>
      <c r="DI7" s="20">
        <f t="shared" si="1"/>
        <v>1</v>
      </c>
      <c r="DJ7" s="20">
        <f t="shared" si="1"/>
        <v>0</v>
      </c>
      <c r="DK7" s="20">
        <f t="shared" si="1"/>
        <v>0</v>
      </c>
      <c r="DL7" s="20">
        <f t="shared" si="1"/>
        <v>0</v>
      </c>
      <c r="DM7" s="20">
        <f t="shared" si="1"/>
        <v>0</v>
      </c>
      <c r="DN7" s="20">
        <f t="shared" si="1"/>
        <v>0</v>
      </c>
      <c r="DO7" s="20">
        <f t="shared" si="1"/>
        <v>0</v>
      </c>
      <c r="DP7" s="20">
        <f t="shared" si="1"/>
        <v>1</v>
      </c>
      <c r="DQ7" s="20">
        <f t="shared" si="1"/>
        <v>0</v>
      </c>
      <c r="DR7" s="20">
        <f t="shared" si="1"/>
        <v>0</v>
      </c>
      <c r="DS7" s="20">
        <f t="shared" si="1"/>
        <v>0</v>
      </c>
      <c r="DT7" s="20">
        <f t="shared" si="1"/>
        <v>0</v>
      </c>
      <c r="DU7" s="20">
        <f t="shared" si="1"/>
        <v>0</v>
      </c>
      <c r="DV7" s="20">
        <f t="shared" si="1"/>
        <v>0</v>
      </c>
      <c r="DW7" s="20">
        <f t="shared" si="1"/>
        <v>1</v>
      </c>
      <c r="DX7" s="20">
        <f t="shared" si="1"/>
        <v>0</v>
      </c>
      <c r="DY7" s="20">
        <f t="shared" si="1"/>
        <v>0</v>
      </c>
      <c r="DZ7" s="20">
        <f t="shared" si="1"/>
        <v>0</v>
      </c>
      <c r="EA7" s="20">
        <f t="shared" si="1"/>
        <v>0</v>
      </c>
      <c r="EB7" s="20">
        <f t="shared" si="1"/>
        <v>0</v>
      </c>
      <c r="EC7" s="20">
        <f t="shared" si="1"/>
        <v>0</v>
      </c>
      <c r="ED7" s="20">
        <f t="shared" si="1"/>
        <v>1</v>
      </c>
      <c r="EE7" s="20">
        <f t="shared" si="1"/>
        <v>0</v>
      </c>
      <c r="EF7" s="20">
        <f t="shared" ref="EF7:GQ7" si="2">+IF($B$1="SI",IF(OR(WEEKDAY(EF8,2)=6,WEEKDAY(EF8,2)=7),1,IF(WEEKDAY(EF8,2)=7,1,0)),IF(WEEKDAY(EF8,2)=7,1,0))</f>
        <v>0</v>
      </c>
      <c r="EG7" s="20">
        <f t="shared" si="2"/>
        <v>0</v>
      </c>
      <c r="EH7" s="20">
        <f t="shared" si="2"/>
        <v>0</v>
      </c>
      <c r="EI7" s="20">
        <f t="shared" si="2"/>
        <v>0</v>
      </c>
      <c r="EJ7" s="20">
        <f t="shared" si="2"/>
        <v>0</v>
      </c>
      <c r="EK7" s="20">
        <f t="shared" si="2"/>
        <v>1</v>
      </c>
      <c r="EL7" s="20">
        <f t="shared" si="2"/>
        <v>0</v>
      </c>
      <c r="EM7" s="20">
        <f t="shared" si="2"/>
        <v>0</v>
      </c>
      <c r="EN7" s="20">
        <f t="shared" si="2"/>
        <v>0</v>
      </c>
      <c r="EO7" s="20">
        <f t="shared" si="2"/>
        <v>0</v>
      </c>
      <c r="EP7" s="20">
        <f t="shared" si="2"/>
        <v>0</v>
      </c>
      <c r="EQ7" s="20">
        <f t="shared" si="2"/>
        <v>0</v>
      </c>
      <c r="ER7" s="20">
        <f t="shared" si="2"/>
        <v>1</v>
      </c>
      <c r="ES7" s="20">
        <f t="shared" si="2"/>
        <v>0</v>
      </c>
      <c r="ET7" s="20">
        <f t="shared" si="2"/>
        <v>0</v>
      </c>
      <c r="EU7" s="20">
        <f t="shared" si="2"/>
        <v>0</v>
      </c>
      <c r="EV7" s="20">
        <f t="shared" si="2"/>
        <v>0</v>
      </c>
      <c r="EW7" s="20">
        <f t="shared" si="2"/>
        <v>0</v>
      </c>
      <c r="EX7" s="20">
        <f t="shared" si="2"/>
        <v>0</v>
      </c>
      <c r="EY7" s="20">
        <f t="shared" si="2"/>
        <v>1</v>
      </c>
      <c r="EZ7" s="20">
        <f t="shared" si="2"/>
        <v>0</v>
      </c>
      <c r="FA7" s="20">
        <f t="shared" si="2"/>
        <v>0</v>
      </c>
      <c r="FB7" s="20">
        <f t="shared" si="2"/>
        <v>0</v>
      </c>
      <c r="FC7" s="20">
        <f t="shared" si="2"/>
        <v>0</v>
      </c>
      <c r="FD7" s="20">
        <f t="shared" si="2"/>
        <v>0</v>
      </c>
      <c r="FE7" s="20">
        <f t="shared" si="2"/>
        <v>0</v>
      </c>
      <c r="FF7" s="20">
        <f t="shared" si="2"/>
        <v>1</v>
      </c>
      <c r="FG7" s="20">
        <f t="shared" si="2"/>
        <v>0</v>
      </c>
      <c r="FH7" s="20">
        <f t="shared" si="2"/>
        <v>0</v>
      </c>
      <c r="FI7" s="20">
        <f t="shared" si="2"/>
        <v>0</v>
      </c>
      <c r="FJ7" s="20">
        <f t="shared" si="2"/>
        <v>0</v>
      </c>
      <c r="FK7" s="20">
        <f t="shared" si="2"/>
        <v>0</v>
      </c>
      <c r="FL7" s="20">
        <f t="shared" si="2"/>
        <v>0</v>
      </c>
      <c r="FM7" s="20">
        <f t="shared" si="2"/>
        <v>1</v>
      </c>
      <c r="FN7" s="20">
        <f t="shared" si="2"/>
        <v>0</v>
      </c>
      <c r="FO7" s="20">
        <f t="shared" si="2"/>
        <v>0</v>
      </c>
      <c r="FP7" s="20">
        <f t="shared" si="2"/>
        <v>0</v>
      </c>
      <c r="FQ7" s="20">
        <f t="shared" si="2"/>
        <v>0</v>
      </c>
      <c r="FR7" s="20">
        <f t="shared" si="2"/>
        <v>0</v>
      </c>
      <c r="FS7" s="20">
        <f t="shared" si="2"/>
        <v>0</v>
      </c>
      <c r="FT7" s="20">
        <f t="shared" si="2"/>
        <v>1</v>
      </c>
      <c r="FU7" s="20">
        <f t="shared" si="2"/>
        <v>0</v>
      </c>
      <c r="FV7" s="20">
        <f t="shared" si="2"/>
        <v>0</v>
      </c>
      <c r="FW7" s="20">
        <f t="shared" si="2"/>
        <v>0</v>
      </c>
      <c r="FX7" s="20">
        <f t="shared" si="2"/>
        <v>0</v>
      </c>
      <c r="FY7" s="20">
        <f t="shared" si="2"/>
        <v>0</v>
      </c>
      <c r="FZ7" s="20">
        <f t="shared" si="2"/>
        <v>0</v>
      </c>
      <c r="GA7" s="20">
        <f t="shared" si="2"/>
        <v>1</v>
      </c>
      <c r="GB7" s="20">
        <f t="shared" si="2"/>
        <v>0</v>
      </c>
      <c r="GC7" s="20">
        <f t="shared" si="2"/>
        <v>0</v>
      </c>
      <c r="GD7" s="20">
        <f t="shared" si="2"/>
        <v>0</v>
      </c>
      <c r="GE7" s="20">
        <f t="shared" si="2"/>
        <v>0</v>
      </c>
      <c r="GF7" s="20">
        <f t="shared" si="2"/>
        <v>0</v>
      </c>
      <c r="GG7" s="20">
        <f t="shared" si="2"/>
        <v>0</v>
      </c>
      <c r="GH7" s="20">
        <f t="shared" si="2"/>
        <v>1</v>
      </c>
      <c r="GI7" s="20">
        <f t="shared" si="2"/>
        <v>0</v>
      </c>
      <c r="GJ7" s="20">
        <f t="shared" si="2"/>
        <v>0</v>
      </c>
      <c r="GK7" s="20">
        <f t="shared" si="2"/>
        <v>0</v>
      </c>
      <c r="GL7" s="20">
        <f t="shared" si="2"/>
        <v>0</v>
      </c>
      <c r="GM7" s="20">
        <f t="shared" si="2"/>
        <v>0</v>
      </c>
      <c r="GN7" s="20">
        <f t="shared" si="2"/>
        <v>0</v>
      </c>
      <c r="GO7" s="20">
        <f t="shared" si="2"/>
        <v>1</v>
      </c>
      <c r="GP7" s="20">
        <f t="shared" si="2"/>
        <v>0</v>
      </c>
      <c r="GQ7" s="20">
        <f t="shared" si="2"/>
        <v>0</v>
      </c>
      <c r="GR7" s="20">
        <f t="shared" ref="GR7:JB7" si="3">+IF($B$1="SI",IF(OR(WEEKDAY(GR8,2)=6,WEEKDAY(GR8,2)=7),1,IF(WEEKDAY(GR8,2)=7,1,0)),IF(WEEKDAY(GR8,2)=7,1,0))</f>
        <v>0</v>
      </c>
      <c r="GS7" s="20">
        <f t="shared" si="3"/>
        <v>0</v>
      </c>
      <c r="GT7" s="20">
        <f t="shared" si="3"/>
        <v>0</v>
      </c>
      <c r="GU7" s="20">
        <f t="shared" si="3"/>
        <v>0</v>
      </c>
      <c r="GV7" s="20">
        <f t="shared" si="3"/>
        <v>1</v>
      </c>
      <c r="GW7" s="20">
        <f t="shared" si="3"/>
        <v>0</v>
      </c>
      <c r="GX7" s="20">
        <f t="shared" si="3"/>
        <v>0</v>
      </c>
      <c r="GY7" s="20">
        <f t="shared" si="3"/>
        <v>0</v>
      </c>
      <c r="GZ7" s="20">
        <f t="shared" si="3"/>
        <v>0</v>
      </c>
      <c r="HA7" s="20">
        <f t="shared" si="3"/>
        <v>0</v>
      </c>
      <c r="HB7" s="20">
        <f t="shared" si="3"/>
        <v>0</v>
      </c>
      <c r="HC7" s="20">
        <f t="shared" si="3"/>
        <v>1</v>
      </c>
      <c r="HD7" s="20">
        <f t="shared" si="3"/>
        <v>0</v>
      </c>
      <c r="HE7" s="20">
        <f t="shared" si="3"/>
        <v>0</v>
      </c>
      <c r="HF7" s="20">
        <f t="shared" si="3"/>
        <v>0</v>
      </c>
      <c r="HG7" s="20">
        <f t="shared" si="3"/>
        <v>0</v>
      </c>
      <c r="HH7" s="20">
        <f t="shared" si="3"/>
        <v>0</v>
      </c>
      <c r="HI7" s="20">
        <f t="shared" si="3"/>
        <v>0</v>
      </c>
      <c r="HJ7" s="20">
        <f t="shared" si="3"/>
        <v>1</v>
      </c>
      <c r="HK7" s="20">
        <f t="shared" si="3"/>
        <v>0</v>
      </c>
      <c r="HL7" s="20">
        <f t="shared" si="3"/>
        <v>0</v>
      </c>
      <c r="HM7" s="20">
        <f t="shared" si="3"/>
        <v>0</v>
      </c>
      <c r="HN7" s="20">
        <f t="shared" si="3"/>
        <v>0</v>
      </c>
      <c r="HO7" s="20">
        <f t="shared" si="3"/>
        <v>0</v>
      </c>
      <c r="HP7" s="20">
        <f t="shared" si="3"/>
        <v>0</v>
      </c>
      <c r="HQ7" s="20">
        <f t="shared" si="3"/>
        <v>1</v>
      </c>
      <c r="HR7" s="20">
        <f t="shared" si="3"/>
        <v>0</v>
      </c>
      <c r="HS7" s="20">
        <f t="shared" si="3"/>
        <v>0</v>
      </c>
      <c r="HT7" s="20">
        <f t="shared" si="3"/>
        <v>0</v>
      </c>
      <c r="HU7" s="20">
        <f t="shared" si="3"/>
        <v>0</v>
      </c>
      <c r="HV7" s="20">
        <f t="shared" si="3"/>
        <v>0</v>
      </c>
      <c r="HW7" s="20">
        <f t="shared" si="3"/>
        <v>0</v>
      </c>
      <c r="HX7" s="20">
        <f t="shared" si="3"/>
        <v>1</v>
      </c>
      <c r="HY7" s="20">
        <f t="shared" si="3"/>
        <v>0</v>
      </c>
      <c r="HZ7" s="20">
        <f t="shared" si="3"/>
        <v>0</v>
      </c>
      <c r="IA7" s="20">
        <f t="shared" si="3"/>
        <v>0</v>
      </c>
      <c r="IB7" s="20">
        <f t="shared" si="3"/>
        <v>0</v>
      </c>
      <c r="IC7" s="20">
        <f t="shared" si="3"/>
        <v>0</v>
      </c>
      <c r="ID7" s="20">
        <f t="shared" si="3"/>
        <v>0</v>
      </c>
      <c r="IE7" s="20">
        <f t="shared" si="3"/>
        <v>1</v>
      </c>
      <c r="IF7" s="20">
        <f t="shared" si="3"/>
        <v>0</v>
      </c>
      <c r="IG7" s="20">
        <f t="shared" si="3"/>
        <v>0</v>
      </c>
      <c r="IH7" s="20">
        <f t="shared" si="3"/>
        <v>0</v>
      </c>
      <c r="II7" s="20">
        <f t="shared" si="3"/>
        <v>0</v>
      </c>
      <c r="IJ7" s="20">
        <f t="shared" si="3"/>
        <v>0</v>
      </c>
      <c r="IK7" s="20">
        <f t="shared" si="3"/>
        <v>0</v>
      </c>
      <c r="IL7" s="20">
        <f t="shared" si="3"/>
        <v>1</v>
      </c>
      <c r="IM7" s="20">
        <f t="shared" si="3"/>
        <v>0</v>
      </c>
      <c r="IN7" s="20">
        <f t="shared" si="3"/>
        <v>0</v>
      </c>
      <c r="IO7" s="20">
        <f t="shared" si="3"/>
        <v>0</v>
      </c>
      <c r="IP7" s="20">
        <f t="shared" si="3"/>
        <v>0</v>
      </c>
      <c r="IQ7" s="20">
        <f t="shared" si="3"/>
        <v>0</v>
      </c>
      <c r="IR7" s="20">
        <f t="shared" si="3"/>
        <v>0</v>
      </c>
      <c r="IS7" s="20">
        <f t="shared" si="3"/>
        <v>0</v>
      </c>
      <c r="IT7" s="20">
        <f t="shared" si="3"/>
        <v>0</v>
      </c>
      <c r="IU7" s="20">
        <f t="shared" si="3"/>
        <v>0</v>
      </c>
      <c r="IV7" s="20">
        <f t="shared" si="3"/>
        <v>0</v>
      </c>
      <c r="IW7" s="20">
        <f t="shared" si="3"/>
        <v>1</v>
      </c>
      <c r="IX7" s="20">
        <f t="shared" si="3"/>
        <v>0</v>
      </c>
      <c r="IY7" s="20">
        <f t="shared" si="3"/>
        <v>0</v>
      </c>
      <c r="IZ7" s="20">
        <f t="shared" si="3"/>
        <v>0</v>
      </c>
      <c r="JA7" s="20">
        <f t="shared" si="3"/>
        <v>0</v>
      </c>
      <c r="JB7" s="20">
        <f t="shared" si="3"/>
        <v>0</v>
      </c>
      <c r="JC7" s="20">
        <f t="shared" ref="JC7:LN7" si="4">+IF($B$1="SI",IF(OR(WEEKDAY(JC8,2)=6,WEEKDAY(JC8,2)=7),1,IF(WEEKDAY(JC8,2)=7,1,0)),IF(WEEKDAY(JC8,2)=7,1,0))</f>
        <v>0</v>
      </c>
      <c r="JD7" s="20">
        <f t="shared" si="4"/>
        <v>1</v>
      </c>
      <c r="JE7" s="20">
        <f t="shared" si="4"/>
        <v>0</v>
      </c>
      <c r="JF7" s="20">
        <f t="shared" si="4"/>
        <v>0</v>
      </c>
      <c r="JG7" s="20">
        <f t="shared" si="4"/>
        <v>0</v>
      </c>
      <c r="JH7" s="20">
        <f t="shared" si="4"/>
        <v>0</v>
      </c>
      <c r="JI7" s="20">
        <f t="shared" si="4"/>
        <v>0</v>
      </c>
      <c r="JJ7" s="20">
        <f t="shared" si="4"/>
        <v>0</v>
      </c>
      <c r="JK7" s="20">
        <f t="shared" si="4"/>
        <v>1</v>
      </c>
      <c r="JL7" s="20">
        <f t="shared" si="4"/>
        <v>0</v>
      </c>
      <c r="JM7" s="20">
        <f t="shared" si="4"/>
        <v>0</v>
      </c>
      <c r="JN7" s="20">
        <f t="shared" si="4"/>
        <v>0</v>
      </c>
      <c r="JO7" s="20">
        <f t="shared" si="4"/>
        <v>0</v>
      </c>
      <c r="JP7" s="20">
        <f t="shared" si="4"/>
        <v>0</v>
      </c>
      <c r="JQ7" s="20">
        <f t="shared" si="4"/>
        <v>0</v>
      </c>
      <c r="JR7" s="20">
        <f t="shared" si="4"/>
        <v>1</v>
      </c>
      <c r="JS7" s="20">
        <f t="shared" si="4"/>
        <v>0</v>
      </c>
      <c r="JT7" s="20">
        <f t="shared" si="4"/>
        <v>0</v>
      </c>
      <c r="JU7" s="20">
        <f t="shared" si="4"/>
        <v>0</v>
      </c>
      <c r="JV7" s="20">
        <f t="shared" si="4"/>
        <v>0</v>
      </c>
      <c r="JW7" s="20">
        <f t="shared" si="4"/>
        <v>0</v>
      </c>
      <c r="JX7" s="20">
        <f t="shared" si="4"/>
        <v>0</v>
      </c>
      <c r="JY7" s="20">
        <f t="shared" si="4"/>
        <v>1</v>
      </c>
      <c r="JZ7" s="20">
        <f t="shared" si="4"/>
        <v>0</v>
      </c>
      <c r="KA7" s="20">
        <f t="shared" si="4"/>
        <v>0</v>
      </c>
      <c r="KB7" s="20">
        <f t="shared" si="4"/>
        <v>0</v>
      </c>
      <c r="KC7" s="20">
        <f t="shared" si="4"/>
        <v>0</v>
      </c>
      <c r="KD7" s="20">
        <f t="shared" si="4"/>
        <v>0</v>
      </c>
      <c r="KE7" s="20">
        <f t="shared" si="4"/>
        <v>0</v>
      </c>
      <c r="KF7" s="20">
        <f t="shared" si="4"/>
        <v>1</v>
      </c>
      <c r="KG7" s="20">
        <f t="shared" si="4"/>
        <v>0</v>
      </c>
      <c r="KH7" s="20">
        <f t="shared" si="4"/>
        <v>0</v>
      </c>
      <c r="KI7" s="20">
        <f t="shared" si="4"/>
        <v>0</v>
      </c>
      <c r="KJ7" s="20">
        <f t="shared" si="4"/>
        <v>0</v>
      </c>
      <c r="KK7" s="20">
        <f t="shared" si="4"/>
        <v>0</v>
      </c>
      <c r="KL7" s="20">
        <f t="shared" si="4"/>
        <v>0</v>
      </c>
      <c r="KM7" s="20">
        <f t="shared" si="4"/>
        <v>1</v>
      </c>
      <c r="KN7" s="20">
        <f t="shared" si="4"/>
        <v>0</v>
      </c>
      <c r="KO7" s="20">
        <f t="shared" si="4"/>
        <v>0</v>
      </c>
      <c r="KP7" s="20">
        <f t="shared" si="4"/>
        <v>0</v>
      </c>
      <c r="KQ7" s="20">
        <f t="shared" si="4"/>
        <v>0</v>
      </c>
      <c r="KR7" s="20">
        <f t="shared" si="4"/>
        <v>0</v>
      </c>
      <c r="KS7" s="20">
        <f t="shared" si="4"/>
        <v>0</v>
      </c>
      <c r="KT7" s="20">
        <f t="shared" si="4"/>
        <v>1</v>
      </c>
      <c r="KU7" s="20">
        <f t="shared" si="4"/>
        <v>0</v>
      </c>
      <c r="KV7" s="20">
        <f t="shared" si="4"/>
        <v>0</v>
      </c>
      <c r="KW7" s="20">
        <f t="shared" si="4"/>
        <v>0</v>
      </c>
      <c r="KX7" s="20">
        <f t="shared" si="4"/>
        <v>0</v>
      </c>
      <c r="KY7" s="20">
        <f t="shared" si="4"/>
        <v>0</v>
      </c>
      <c r="KZ7" s="20">
        <f t="shared" si="4"/>
        <v>0</v>
      </c>
      <c r="LA7" s="20">
        <f t="shared" si="4"/>
        <v>1</v>
      </c>
      <c r="LB7" s="20">
        <f t="shared" si="4"/>
        <v>0</v>
      </c>
      <c r="LC7" s="20">
        <f t="shared" si="4"/>
        <v>0</v>
      </c>
      <c r="LD7" s="20">
        <f t="shared" si="4"/>
        <v>0</v>
      </c>
      <c r="LE7" s="20">
        <f t="shared" si="4"/>
        <v>0</v>
      </c>
      <c r="LF7" s="20">
        <f t="shared" si="4"/>
        <v>0</v>
      </c>
      <c r="LG7" s="20">
        <f t="shared" si="4"/>
        <v>0</v>
      </c>
      <c r="LH7" s="20">
        <f t="shared" si="4"/>
        <v>1</v>
      </c>
      <c r="LI7" s="20">
        <f t="shared" si="4"/>
        <v>0</v>
      </c>
      <c r="LJ7" s="20">
        <f t="shared" si="4"/>
        <v>0</v>
      </c>
      <c r="LK7" s="20">
        <f t="shared" si="4"/>
        <v>0</v>
      </c>
      <c r="LL7" s="20">
        <f t="shared" si="4"/>
        <v>0</v>
      </c>
      <c r="LM7" s="20">
        <f t="shared" si="4"/>
        <v>0</v>
      </c>
      <c r="LN7" s="20">
        <f t="shared" si="4"/>
        <v>0</v>
      </c>
      <c r="LO7" s="20">
        <f t="shared" ref="LO7:NG7" si="5">+IF($B$1="SI",IF(OR(WEEKDAY(LO8,2)=6,WEEKDAY(LO8,2)=7),1,IF(WEEKDAY(LO8,2)=7,1,0)),IF(WEEKDAY(LO8,2)=7,1,0))</f>
        <v>1</v>
      </c>
      <c r="LP7" s="20">
        <f t="shared" si="5"/>
        <v>0</v>
      </c>
      <c r="LQ7" s="20">
        <f t="shared" si="5"/>
        <v>0</v>
      </c>
      <c r="LR7" s="20">
        <f t="shared" si="5"/>
        <v>0</v>
      </c>
      <c r="LS7" s="20">
        <f t="shared" si="5"/>
        <v>0</v>
      </c>
      <c r="LT7" s="20">
        <f t="shared" si="5"/>
        <v>0</v>
      </c>
      <c r="LU7" s="20">
        <f t="shared" si="5"/>
        <v>0</v>
      </c>
      <c r="LV7" s="20">
        <f t="shared" si="5"/>
        <v>1</v>
      </c>
      <c r="LW7" s="20">
        <f t="shared" si="5"/>
        <v>0</v>
      </c>
      <c r="LX7" s="20">
        <f t="shared" si="5"/>
        <v>0</v>
      </c>
      <c r="LY7" s="20">
        <f t="shared" si="5"/>
        <v>0</v>
      </c>
      <c r="LZ7" s="20">
        <f t="shared" si="5"/>
        <v>0</v>
      </c>
      <c r="MA7" s="20">
        <f t="shared" si="5"/>
        <v>0</v>
      </c>
      <c r="MB7" s="20">
        <f t="shared" si="5"/>
        <v>0</v>
      </c>
      <c r="MC7" s="20">
        <f t="shared" si="5"/>
        <v>1</v>
      </c>
      <c r="MD7" s="20">
        <f t="shared" si="5"/>
        <v>0</v>
      </c>
      <c r="ME7" s="20">
        <f t="shared" si="5"/>
        <v>0</v>
      </c>
      <c r="MF7" s="20">
        <f t="shared" si="5"/>
        <v>0</v>
      </c>
      <c r="MG7" s="20">
        <f t="shared" si="5"/>
        <v>0</v>
      </c>
      <c r="MH7" s="20">
        <f t="shared" si="5"/>
        <v>0</v>
      </c>
      <c r="MI7" s="20">
        <f t="shared" si="5"/>
        <v>0</v>
      </c>
      <c r="MJ7" s="20">
        <f t="shared" si="5"/>
        <v>1</v>
      </c>
      <c r="MK7" s="20">
        <f t="shared" si="5"/>
        <v>0</v>
      </c>
      <c r="ML7" s="20">
        <f t="shared" si="5"/>
        <v>0</v>
      </c>
      <c r="MM7" s="20">
        <f t="shared" si="5"/>
        <v>0</v>
      </c>
      <c r="MN7" s="20">
        <f t="shared" si="5"/>
        <v>0</v>
      </c>
      <c r="MO7" s="20">
        <f t="shared" si="5"/>
        <v>0</v>
      </c>
      <c r="MP7" s="20">
        <f t="shared" si="5"/>
        <v>0</v>
      </c>
      <c r="MQ7" s="20">
        <f t="shared" si="5"/>
        <v>1</v>
      </c>
      <c r="MR7" s="20">
        <f t="shared" si="5"/>
        <v>0</v>
      </c>
      <c r="MS7" s="20">
        <f t="shared" si="5"/>
        <v>0</v>
      </c>
      <c r="MT7" s="20">
        <f t="shared" si="5"/>
        <v>0</v>
      </c>
      <c r="MU7" s="20">
        <f t="shared" si="5"/>
        <v>0</v>
      </c>
      <c r="MV7" s="20">
        <f t="shared" si="5"/>
        <v>0</v>
      </c>
      <c r="MW7" s="20">
        <f t="shared" si="5"/>
        <v>0</v>
      </c>
      <c r="MX7" s="20">
        <f t="shared" si="5"/>
        <v>1</v>
      </c>
      <c r="MY7" s="20">
        <f t="shared" si="5"/>
        <v>0</v>
      </c>
      <c r="MZ7" s="20">
        <f t="shared" si="5"/>
        <v>0</v>
      </c>
      <c r="NA7" s="20">
        <f t="shared" si="5"/>
        <v>0</v>
      </c>
      <c r="NB7" s="20">
        <f t="shared" si="5"/>
        <v>0</v>
      </c>
      <c r="NC7" s="20">
        <f t="shared" si="5"/>
        <v>0</v>
      </c>
      <c r="ND7" s="20">
        <f t="shared" si="5"/>
        <v>0</v>
      </c>
      <c r="NE7" s="20">
        <f t="shared" si="5"/>
        <v>1</v>
      </c>
      <c r="NF7" s="20">
        <f t="shared" si="5"/>
        <v>0</v>
      </c>
      <c r="NG7" s="20">
        <f t="shared" si="5"/>
        <v>0</v>
      </c>
      <c r="NH7" s="19"/>
    </row>
    <row r="8" spans="1:372" s="1" customFormat="1" x14ac:dyDescent="0.25">
      <c r="A8" s="49" t="s">
        <v>7</v>
      </c>
      <c r="B8" s="49" t="s">
        <v>8</v>
      </c>
      <c r="C8" s="49" t="s">
        <v>9</v>
      </c>
      <c r="D8" s="49" t="s">
        <v>10</v>
      </c>
      <c r="E8" s="49" t="s">
        <v>11</v>
      </c>
      <c r="F8" s="49" t="s">
        <v>12</v>
      </c>
      <c r="G8" s="46" t="s">
        <v>13</v>
      </c>
      <c r="H8" s="3">
        <v>44927</v>
      </c>
      <c r="I8" s="3">
        <v>44928</v>
      </c>
      <c r="J8" s="3">
        <v>44929</v>
      </c>
      <c r="K8" s="3">
        <v>44930</v>
      </c>
      <c r="L8" s="3">
        <v>44931</v>
      </c>
      <c r="M8" s="3">
        <v>44932</v>
      </c>
      <c r="N8" s="3">
        <v>44933</v>
      </c>
      <c r="O8" s="3">
        <v>44934</v>
      </c>
      <c r="P8" s="3">
        <v>44935</v>
      </c>
      <c r="Q8" s="3">
        <v>44936</v>
      </c>
      <c r="R8" s="3">
        <v>44937</v>
      </c>
      <c r="S8" s="3">
        <v>44938</v>
      </c>
      <c r="T8" s="3">
        <v>44939</v>
      </c>
      <c r="U8" s="3">
        <v>44940</v>
      </c>
      <c r="V8" s="3">
        <v>44941</v>
      </c>
      <c r="W8" s="3">
        <v>44942</v>
      </c>
      <c r="X8" s="3">
        <v>44943</v>
      </c>
      <c r="Y8" s="3">
        <v>44944</v>
      </c>
      <c r="Z8" s="3">
        <v>44945</v>
      </c>
      <c r="AA8" s="3">
        <v>44946</v>
      </c>
      <c r="AB8" s="3">
        <v>44947</v>
      </c>
      <c r="AC8" s="3">
        <v>44948</v>
      </c>
      <c r="AD8" s="3">
        <v>44949</v>
      </c>
      <c r="AE8" s="3">
        <v>44950</v>
      </c>
      <c r="AF8" s="3">
        <v>44951</v>
      </c>
      <c r="AG8" s="3">
        <v>44952</v>
      </c>
      <c r="AH8" s="3">
        <v>44953</v>
      </c>
      <c r="AI8" s="3">
        <v>44954</v>
      </c>
      <c r="AJ8" s="3">
        <v>44955</v>
      </c>
      <c r="AK8" s="3">
        <v>44956</v>
      </c>
      <c r="AL8" s="3">
        <v>44957</v>
      </c>
      <c r="AM8" s="3">
        <v>44958</v>
      </c>
      <c r="AN8" s="3">
        <v>44959</v>
      </c>
      <c r="AO8" s="3">
        <v>44960</v>
      </c>
      <c r="AP8" s="3">
        <v>44961</v>
      </c>
      <c r="AQ8" s="3">
        <v>44962</v>
      </c>
      <c r="AR8" s="3">
        <v>44963</v>
      </c>
      <c r="AS8" s="3">
        <v>44964</v>
      </c>
      <c r="AT8" s="3">
        <v>44965</v>
      </c>
      <c r="AU8" s="3">
        <v>44966</v>
      </c>
      <c r="AV8" s="3">
        <v>44967</v>
      </c>
      <c r="AW8" s="3">
        <v>44968</v>
      </c>
      <c r="AX8" s="3">
        <v>44969</v>
      </c>
      <c r="AY8" s="3">
        <v>44970</v>
      </c>
      <c r="AZ8" s="3">
        <v>44971</v>
      </c>
      <c r="BA8" s="3">
        <v>44972</v>
      </c>
      <c r="BB8" s="3">
        <v>44973</v>
      </c>
      <c r="BC8" s="3">
        <v>44974</v>
      </c>
      <c r="BD8" s="3">
        <v>44975</v>
      </c>
      <c r="BE8" s="3">
        <v>44976</v>
      </c>
      <c r="BF8" s="3">
        <v>44977</v>
      </c>
      <c r="BG8" s="3">
        <v>44978</v>
      </c>
      <c r="BH8" s="3">
        <v>44979</v>
      </c>
      <c r="BI8" s="3">
        <v>44980</v>
      </c>
      <c r="BJ8" s="3">
        <v>44981</v>
      </c>
      <c r="BK8" s="3">
        <v>44982</v>
      </c>
      <c r="BL8" s="3">
        <v>44983</v>
      </c>
      <c r="BM8" s="3">
        <v>44984</v>
      </c>
      <c r="BN8" s="3">
        <v>44985</v>
      </c>
      <c r="BO8" s="3">
        <v>44986</v>
      </c>
      <c r="BP8" s="3">
        <v>44987</v>
      </c>
      <c r="BQ8" s="3">
        <v>44988</v>
      </c>
      <c r="BR8" s="3">
        <v>44989</v>
      </c>
      <c r="BS8" s="3">
        <v>44990</v>
      </c>
      <c r="BT8" s="3">
        <v>44991</v>
      </c>
      <c r="BU8" s="3">
        <v>44992</v>
      </c>
      <c r="BV8" s="3">
        <v>44993</v>
      </c>
      <c r="BW8" s="3">
        <v>44994</v>
      </c>
      <c r="BX8" s="3">
        <v>44995</v>
      </c>
      <c r="BY8" s="3">
        <v>44996</v>
      </c>
      <c r="BZ8" s="3">
        <v>44997</v>
      </c>
      <c r="CA8" s="3">
        <v>44998</v>
      </c>
      <c r="CB8" s="3">
        <v>44999</v>
      </c>
      <c r="CC8" s="3">
        <v>45000</v>
      </c>
      <c r="CD8" s="3">
        <v>45001</v>
      </c>
      <c r="CE8" s="3">
        <v>45002</v>
      </c>
      <c r="CF8" s="3">
        <v>45003</v>
      </c>
      <c r="CG8" s="3">
        <v>45004</v>
      </c>
      <c r="CH8" s="3">
        <v>45005</v>
      </c>
      <c r="CI8" s="3">
        <v>45006</v>
      </c>
      <c r="CJ8" s="3">
        <v>45007</v>
      </c>
      <c r="CK8" s="3">
        <v>45008</v>
      </c>
      <c r="CL8" s="3">
        <v>45009</v>
      </c>
      <c r="CM8" s="3">
        <v>45010</v>
      </c>
      <c r="CN8" s="3">
        <v>45011</v>
      </c>
      <c r="CO8" s="3">
        <v>45012</v>
      </c>
      <c r="CP8" s="3">
        <v>45013</v>
      </c>
      <c r="CQ8" s="3">
        <v>45014</v>
      </c>
      <c r="CR8" s="3">
        <v>45015</v>
      </c>
      <c r="CS8" s="3">
        <v>45016</v>
      </c>
      <c r="CT8" s="3">
        <v>45017</v>
      </c>
      <c r="CU8" s="3">
        <v>45018</v>
      </c>
      <c r="CV8" s="3">
        <v>45019</v>
      </c>
      <c r="CW8" s="3">
        <v>45020</v>
      </c>
      <c r="CX8" s="3">
        <v>45021</v>
      </c>
      <c r="CY8" s="3">
        <v>45022</v>
      </c>
      <c r="CZ8" s="3">
        <v>45023</v>
      </c>
      <c r="DA8" s="3">
        <v>45024</v>
      </c>
      <c r="DB8" s="3">
        <v>45025</v>
      </c>
      <c r="DC8" s="3">
        <v>45026</v>
      </c>
      <c r="DD8" s="3">
        <v>45027</v>
      </c>
      <c r="DE8" s="3">
        <v>45028</v>
      </c>
      <c r="DF8" s="3">
        <v>45029</v>
      </c>
      <c r="DG8" s="3">
        <v>45030</v>
      </c>
      <c r="DH8" s="3">
        <v>45031</v>
      </c>
      <c r="DI8" s="3">
        <v>45032</v>
      </c>
      <c r="DJ8" s="3">
        <v>45033</v>
      </c>
      <c r="DK8" s="3">
        <v>45034</v>
      </c>
      <c r="DL8" s="3">
        <v>45035</v>
      </c>
      <c r="DM8" s="3">
        <v>45036</v>
      </c>
      <c r="DN8" s="3">
        <v>45037</v>
      </c>
      <c r="DO8" s="3">
        <v>45038</v>
      </c>
      <c r="DP8" s="3">
        <v>45039</v>
      </c>
      <c r="DQ8" s="3">
        <v>45040</v>
      </c>
      <c r="DR8" s="3">
        <v>45041</v>
      </c>
      <c r="DS8" s="3">
        <v>45042</v>
      </c>
      <c r="DT8" s="3">
        <v>45043</v>
      </c>
      <c r="DU8" s="3">
        <v>45044</v>
      </c>
      <c r="DV8" s="3">
        <v>45045</v>
      </c>
      <c r="DW8" s="3">
        <v>45046</v>
      </c>
      <c r="DX8" s="3">
        <v>45047</v>
      </c>
      <c r="DY8" s="3">
        <v>45048</v>
      </c>
      <c r="DZ8" s="3">
        <v>45049</v>
      </c>
      <c r="EA8" s="3">
        <v>45050</v>
      </c>
      <c r="EB8" s="3">
        <v>45051</v>
      </c>
      <c r="EC8" s="3">
        <v>45052</v>
      </c>
      <c r="ED8" s="3">
        <v>45053</v>
      </c>
      <c r="EE8" s="3">
        <v>45054</v>
      </c>
      <c r="EF8" s="3">
        <v>45055</v>
      </c>
      <c r="EG8" s="3">
        <v>45056</v>
      </c>
      <c r="EH8" s="3">
        <v>45057</v>
      </c>
      <c r="EI8" s="3">
        <v>45058</v>
      </c>
      <c r="EJ8" s="3">
        <v>45059</v>
      </c>
      <c r="EK8" s="3">
        <v>45060</v>
      </c>
      <c r="EL8" s="3">
        <v>45061</v>
      </c>
      <c r="EM8" s="3">
        <v>45062</v>
      </c>
      <c r="EN8" s="3">
        <v>45063</v>
      </c>
      <c r="EO8" s="3">
        <v>45064</v>
      </c>
      <c r="EP8" s="3">
        <v>45065</v>
      </c>
      <c r="EQ8" s="3">
        <v>45066</v>
      </c>
      <c r="ER8" s="3">
        <v>45067</v>
      </c>
      <c r="ES8" s="3">
        <v>45068</v>
      </c>
      <c r="ET8" s="3">
        <v>45069</v>
      </c>
      <c r="EU8" s="3">
        <v>45070</v>
      </c>
      <c r="EV8" s="3">
        <v>45071</v>
      </c>
      <c r="EW8" s="3">
        <v>45072</v>
      </c>
      <c r="EX8" s="3">
        <v>45073</v>
      </c>
      <c r="EY8" s="3">
        <v>45074</v>
      </c>
      <c r="EZ8" s="3">
        <v>45075</v>
      </c>
      <c r="FA8" s="3">
        <v>45076</v>
      </c>
      <c r="FB8" s="3">
        <v>45077</v>
      </c>
      <c r="FC8" s="3">
        <v>45078</v>
      </c>
      <c r="FD8" s="3">
        <v>45079</v>
      </c>
      <c r="FE8" s="3">
        <v>45080</v>
      </c>
      <c r="FF8" s="3">
        <v>45081</v>
      </c>
      <c r="FG8" s="3">
        <v>45082</v>
      </c>
      <c r="FH8" s="3">
        <v>45083</v>
      </c>
      <c r="FI8" s="3">
        <v>45084</v>
      </c>
      <c r="FJ8" s="3">
        <v>45085</v>
      </c>
      <c r="FK8" s="3">
        <v>45086</v>
      </c>
      <c r="FL8" s="3">
        <v>45087</v>
      </c>
      <c r="FM8" s="3">
        <v>45088</v>
      </c>
      <c r="FN8" s="3">
        <v>45089</v>
      </c>
      <c r="FO8" s="3">
        <v>45090</v>
      </c>
      <c r="FP8" s="3">
        <v>45091</v>
      </c>
      <c r="FQ8" s="3">
        <v>45092</v>
      </c>
      <c r="FR8" s="3">
        <v>45093</v>
      </c>
      <c r="FS8" s="3">
        <v>45094</v>
      </c>
      <c r="FT8" s="3">
        <v>45095</v>
      </c>
      <c r="FU8" s="3">
        <v>45096</v>
      </c>
      <c r="FV8" s="3">
        <v>45097</v>
      </c>
      <c r="FW8" s="3">
        <v>45098</v>
      </c>
      <c r="FX8" s="3">
        <v>45099</v>
      </c>
      <c r="FY8" s="3">
        <v>45100</v>
      </c>
      <c r="FZ8" s="3">
        <v>45101</v>
      </c>
      <c r="GA8" s="3">
        <v>45102</v>
      </c>
      <c r="GB8" s="3">
        <v>45103</v>
      </c>
      <c r="GC8" s="3">
        <v>45104</v>
      </c>
      <c r="GD8" s="3">
        <v>45105</v>
      </c>
      <c r="GE8" s="3">
        <v>45106</v>
      </c>
      <c r="GF8" s="3">
        <v>45107</v>
      </c>
      <c r="GG8" s="3">
        <v>45108</v>
      </c>
      <c r="GH8" s="3">
        <v>45109</v>
      </c>
      <c r="GI8" s="3">
        <v>45110</v>
      </c>
      <c r="GJ8" s="3">
        <v>45111</v>
      </c>
      <c r="GK8" s="3">
        <v>45112</v>
      </c>
      <c r="GL8" s="3">
        <v>45113</v>
      </c>
      <c r="GM8" s="3">
        <v>45114</v>
      </c>
      <c r="GN8" s="3">
        <v>45115</v>
      </c>
      <c r="GO8" s="3">
        <v>45116</v>
      </c>
      <c r="GP8" s="3">
        <v>45117</v>
      </c>
      <c r="GQ8" s="3">
        <v>45118</v>
      </c>
      <c r="GR8" s="3">
        <v>45119</v>
      </c>
      <c r="GS8" s="3">
        <v>45120</v>
      </c>
      <c r="GT8" s="3">
        <v>45121</v>
      </c>
      <c r="GU8" s="3">
        <v>45122</v>
      </c>
      <c r="GV8" s="3">
        <v>45123</v>
      </c>
      <c r="GW8" s="3">
        <v>45124</v>
      </c>
      <c r="GX8" s="3">
        <v>45125</v>
      </c>
      <c r="GY8" s="3">
        <v>45126</v>
      </c>
      <c r="GZ8" s="3">
        <v>45127</v>
      </c>
      <c r="HA8" s="3">
        <v>45128</v>
      </c>
      <c r="HB8" s="3">
        <v>45129</v>
      </c>
      <c r="HC8" s="3">
        <v>45130</v>
      </c>
      <c r="HD8" s="3">
        <v>45131</v>
      </c>
      <c r="HE8" s="3">
        <v>45132</v>
      </c>
      <c r="HF8" s="3">
        <v>45133</v>
      </c>
      <c r="HG8" s="3">
        <v>45134</v>
      </c>
      <c r="HH8" s="3">
        <v>45135</v>
      </c>
      <c r="HI8" s="3">
        <v>45136</v>
      </c>
      <c r="HJ8" s="3">
        <v>45137</v>
      </c>
      <c r="HK8" s="3">
        <v>45138</v>
      </c>
      <c r="HL8" s="3">
        <v>45139</v>
      </c>
      <c r="HM8" s="3">
        <v>45140</v>
      </c>
      <c r="HN8" s="3">
        <v>45141</v>
      </c>
      <c r="HO8" s="3">
        <v>45142</v>
      </c>
      <c r="HP8" s="3">
        <v>45143</v>
      </c>
      <c r="HQ8" s="3">
        <v>45144</v>
      </c>
      <c r="HR8" s="3">
        <v>45145</v>
      </c>
      <c r="HS8" s="3">
        <v>45146</v>
      </c>
      <c r="HT8" s="3">
        <v>45147</v>
      </c>
      <c r="HU8" s="3">
        <v>45148</v>
      </c>
      <c r="HV8" s="3">
        <v>45149</v>
      </c>
      <c r="HW8" s="3">
        <v>45150</v>
      </c>
      <c r="HX8" s="3">
        <v>45151</v>
      </c>
      <c r="HY8" s="3">
        <v>45152</v>
      </c>
      <c r="HZ8" s="3">
        <v>45153</v>
      </c>
      <c r="IA8" s="3">
        <v>45154</v>
      </c>
      <c r="IB8" s="3">
        <v>45155</v>
      </c>
      <c r="IC8" s="3">
        <v>45156</v>
      </c>
      <c r="ID8" s="3">
        <v>45157</v>
      </c>
      <c r="IE8" s="3">
        <v>45158</v>
      </c>
      <c r="IF8" s="3">
        <v>45159</v>
      </c>
      <c r="IG8" s="3">
        <v>45160</v>
      </c>
      <c r="IH8" s="3">
        <v>45161</v>
      </c>
      <c r="II8" s="3">
        <v>45162</v>
      </c>
      <c r="IJ8" s="3">
        <v>45163</v>
      </c>
      <c r="IK8" s="3">
        <v>45164</v>
      </c>
      <c r="IL8" s="3">
        <v>45165</v>
      </c>
      <c r="IM8" s="3">
        <v>45166</v>
      </c>
      <c r="IN8" s="3">
        <v>45167</v>
      </c>
      <c r="IO8" s="3">
        <v>45168</v>
      </c>
      <c r="IP8" s="3">
        <v>45169</v>
      </c>
      <c r="IQ8" s="3">
        <v>45355</v>
      </c>
      <c r="IR8" s="3">
        <v>45356</v>
      </c>
      <c r="IS8" s="3">
        <v>45357</v>
      </c>
      <c r="IT8" s="3">
        <v>45358</v>
      </c>
      <c r="IU8" s="3">
        <v>45359</v>
      </c>
      <c r="IV8" s="3">
        <v>45360</v>
      </c>
      <c r="IW8" s="3">
        <v>45361</v>
      </c>
      <c r="IX8" s="3">
        <v>45362</v>
      </c>
      <c r="IY8" s="3">
        <v>45363</v>
      </c>
      <c r="IZ8" s="3">
        <v>45364</v>
      </c>
      <c r="JA8" s="3">
        <v>45365</v>
      </c>
      <c r="JB8" s="3">
        <v>45366</v>
      </c>
      <c r="JC8" s="3">
        <v>45367</v>
      </c>
      <c r="JD8" s="3">
        <v>45368</v>
      </c>
      <c r="JE8" s="3">
        <v>45369</v>
      </c>
      <c r="JF8" s="3">
        <v>45370</v>
      </c>
      <c r="JG8" s="3">
        <v>45371</v>
      </c>
      <c r="JH8" s="3">
        <v>45372</v>
      </c>
      <c r="JI8" s="3">
        <v>45373</v>
      </c>
      <c r="JJ8" s="3">
        <v>45374</v>
      </c>
      <c r="JK8" s="3">
        <v>45375</v>
      </c>
      <c r="JL8" s="3">
        <v>45376</v>
      </c>
      <c r="JM8" s="3">
        <v>45377</v>
      </c>
      <c r="JN8" s="3">
        <v>45378</v>
      </c>
      <c r="JO8" s="3">
        <v>45379</v>
      </c>
      <c r="JP8" s="3">
        <v>45380</v>
      </c>
      <c r="JQ8" s="3">
        <v>45381</v>
      </c>
      <c r="JR8" s="3">
        <v>45382</v>
      </c>
      <c r="JS8" s="3">
        <v>45383</v>
      </c>
      <c r="JT8" s="3">
        <v>45384</v>
      </c>
      <c r="JU8" s="3">
        <v>45385</v>
      </c>
      <c r="JV8" s="3">
        <v>45386</v>
      </c>
      <c r="JW8" s="3">
        <v>45387</v>
      </c>
      <c r="JX8" s="3">
        <v>45388</v>
      </c>
      <c r="JY8" s="3">
        <v>45389</v>
      </c>
      <c r="JZ8" s="3">
        <v>45390</v>
      </c>
      <c r="KA8" s="3">
        <v>45391</v>
      </c>
      <c r="KB8" s="3">
        <v>45392</v>
      </c>
      <c r="KC8" s="3">
        <v>45393</v>
      </c>
      <c r="KD8" s="3">
        <v>45394</v>
      </c>
      <c r="KE8" s="3">
        <v>45395</v>
      </c>
      <c r="KF8" s="3">
        <v>45396</v>
      </c>
      <c r="KG8" s="3">
        <v>45397</v>
      </c>
      <c r="KH8" s="3">
        <v>45398</v>
      </c>
      <c r="KI8" s="3">
        <v>45399</v>
      </c>
      <c r="KJ8" s="3">
        <v>45400</v>
      </c>
      <c r="KK8" s="3">
        <v>45401</v>
      </c>
      <c r="KL8" s="3">
        <v>45402</v>
      </c>
      <c r="KM8" s="3">
        <v>45403</v>
      </c>
      <c r="KN8" s="3">
        <v>45404</v>
      </c>
      <c r="KO8" s="3">
        <v>45405</v>
      </c>
      <c r="KP8" s="3">
        <v>45406</v>
      </c>
      <c r="KQ8" s="3">
        <v>45407</v>
      </c>
      <c r="KR8" s="3">
        <v>45408</v>
      </c>
      <c r="KS8" s="3">
        <v>45409</v>
      </c>
      <c r="KT8" s="3">
        <v>45410</v>
      </c>
      <c r="KU8" s="3">
        <v>45411</v>
      </c>
      <c r="KV8" s="3">
        <v>45412</v>
      </c>
      <c r="KW8" s="3">
        <v>45413</v>
      </c>
      <c r="KX8" s="3">
        <v>45414</v>
      </c>
      <c r="KY8" s="3">
        <v>45415</v>
      </c>
      <c r="KZ8" s="3">
        <v>45416</v>
      </c>
      <c r="LA8" s="3">
        <v>45417</v>
      </c>
      <c r="LB8" s="3">
        <v>45418</v>
      </c>
      <c r="LC8" s="3">
        <v>45419</v>
      </c>
      <c r="LD8" s="3">
        <v>45420</v>
      </c>
      <c r="LE8" s="3">
        <v>45421</v>
      </c>
      <c r="LF8" s="3">
        <v>45422</v>
      </c>
      <c r="LG8" s="3">
        <v>45423</v>
      </c>
      <c r="LH8" s="3">
        <v>45424</v>
      </c>
      <c r="LI8" s="3">
        <v>45425</v>
      </c>
      <c r="LJ8" s="3">
        <v>45426</v>
      </c>
      <c r="LK8" s="3">
        <v>45427</v>
      </c>
      <c r="LL8" s="3">
        <v>45428</v>
      </c>
      <c r="LM8" s="3">
        <v>45429</v>
      </c>
      <c r="LN8" s="3">
        <v>45430</v>
      </c>
      <c r="LO8" s="3">
        <v>45431</v>
      </c>
      <c r="LP8" s="3">
        <v>45432</v>
      </c>
      <c r="LQ8" s="3">
        <v>45433</v>
      </c>
      <c r="LR8" s="3">
        <v>45434</v>
      </c>
      <c r="LS8" s="3">
        <v>45435</v>
      </c>
      <c r="LT8" s="3">
        <v>45436</v>
      </c>
      <c r="LU8" s="3">
        <v>45437</v>
      </c>
      <c r="LV8" s="3">
        <v>45438</v>
      </c>
      <c r="LW8" s="3">
        <v>45439</v>
      </c>
      <c r="LX8" s="3">
        <v>45440</v>
      </c>
      <c r="LY8" s="3">
        <v>45441</v>
      </c>
      <c r="LZ8" s="3">
        <v>45442</v>
      </c>
      <c r="MA8" s="3">
        <v>45443</v>
      </c>
      <c r="MB8" s="3">
        <v>45444</v>
      </c>
      <c r="MC8" s="3">
        <v>45445</v>
      </c>
      <c r="MD8" s="3">
        <v>45446</v>
      </c>
      <c r="ME8" s="3">
        <v>45447</v>
      </c>
      <c r="MF8" s="3">
        <v>45448</v>
      </c>
      <c r="MG8" s="3">
        <v>45449</v>
      </c>
      <c r="MH8" s="3">
        <v>45450</v>
      </c>
      <c r="MI8" s="3">
        <v>45451</v>
      </c>
      <c r="MJ8" s="3">
        <v>45452</v>
      </c>
      <c r="MK8" s="3">
        <v>45453</v>
      </c>
      <c r="ML8" s="3">
        <v>45454</v>
      </c>
      <c r="MM8" s="3">
        <v>45455</v>
      </c>
      <c r="MN8" s="3">
        <v>45456</v>
      </c>
      <c r="MO8" s="3">
        <v>45457</v>
      </c>
      <c r="MP8" s="3">
        <v>45458</v>
      </c>
      <c r="MQ8" s="3">
        <v>45459</v>
      </c>
      <c r="MR8" s="3">
        <v>45460</v>
      </c>
      <c r="MS8" s="3">
        <v>45461</v>
      </c>
      <c r="MT8" s="3">
        <v>45462</v>
      </c>
      <c r="MU8" s="3">
        <v>45463</v>
      </c>
      <c r="MV8" s="3">
        <v>45464</v>
      </c>
      <c r="MW8" s="3">
        <v>45465</v>
      </c>
      <c r="MX8" s="3">
        <v>45466</v>
      </c>
      <c r="MY8" s="3">
        <v>45467</v>
      </c>
      <c r="MZ8" s="3">
        <v>45468</v>
      </c>
      <c r="NA8" s="3">
        <v>45469</v>
      </c>
      <c r="NB8" s="3">
        <v>45470</v>
      </c>
      <c r="NC8" s="3">
        <v>45471</v>
      </c>
      <c r="ND8" s="3">
        <v>45472</v>
      </c>
      <c r="NE8" s="3">
        <v>45473</v>
      </c>
      <c r="NF8" s="3">
        <v>45474</v>
      </c>
      <c r="NG8" s="3">
        <v>45475</v>
      </c>
      <c r="NH8" s="19"/>
    </row>
    <row r="9" spans="1:372" s="1" customFormat="1" ht="15.75" thickBot="1" x14ac:dyDescent="0.3">
      <c r="A9" s="50"/>
      <c r="B9" s="50"/>
      <c r="C9" s="50"/>
      <c r="D9" s="50"/>
      <c r="E9" s="50"/>
      <c r="F9" s="50"/>
      <c r="G9" s="47"/>
      <c r="H9" s="4" t="str">
        <f>TEXT(H8,"DDD")</f>
        <v>dom</v>
      </c>
      <c r="I9" s="4" t="str">
        <f t="shared" ref="I9:BT9" si="6">TEXT(I8,"DDD")</f>
        <v>lun</v>
      </c>
      <c r="J9" s="4" t="str">
        <f t="shared" si="6"/>
        <v>mar</v>
      </c>
      <c r="K9" s="4" t="str">
        <f t="shared" si="6"/>
        <v>mié</v>
      </c>
      <c r="L9" s="4" t="str">
        <f t="shared" si="6"/>
        <v>jue</v>
      </c>
      <c r="M9" s="4" t="str">
        <f t="shared" si="6"/>
        <v>vie</v>
      </c>
      <c r="N9" s="4" t="str">
        <f t="shared" si="6"/>
        <v>sáb</v>
      </c>
      <c r="O9" s="4" t="str">
        <f t="shared" si="6"/>
        <v>dom</v>
      </c>
      <c r="P9" s="4" t="str">
        <f t="shared" si="6"/>
        <v>lun</v>
      </c>
      <c r="Q9" s="4" t="str">
        <f t="shared" si="6"/>
        <v>mar</v>
      </c>
      <c r="R9" s="4" t="str">
        <f t="shared" si="6"/>
        <v>mié</v>
      </c>
      <c r="S9" s="4" t="str">
        <f t="shared" si="6"/>
        <v>jue</v>
      </c>
      <c r="T9" s="4" t="str">
        <f t="shared" si="6"/>
        <v>vie</v>
      </c>
      <c r="U9" s="4" t="str">
        <f t="shared" si="6"/>
        <v>sáb</v>
      </c>
      <c r="V9" s="4" t="str">
        <f t="shared" si="6"/>
        <v>dom</v>
      </c>
      <c r="W9" s="4" t="str">
        <f t="shared" si="6"/>
        <v>lun</v>
      </c>
      <c r="X9" s="4" t="str">
        <f t="shared" si="6"/>
        <v>mar</v>
      </c>
      <c r="Y9" s="4" t="str">
        <f t="shared" si="6"/>
        <v>mié</v>
      </c>
      <c r="Z9" s="4" t="str">
        <f t="shared" si="6"/>
        <v>jue</v>
      </c>
      <c r="AA9" s="4" t="str">
        <f t="shared" si="6"/>
        <v>vie</v>
      </c>
      <c r="AB9" s="4" t="str">
        <f t="shared" si="6"/>
        <v>sáb</v>
      </c>
      <c r="AC9" s="4" t="str">
        <f t="shared" si="6"/>
        <v>dom</v>
      </c>
      <c r="AD9" s="4" t="str">
        <f t="shared" si="6"/>
        <v>lun</v>
      </c>
      <c r="AE9" s="4" t="str">
        <f t="shared" si="6"/>
        <v>mar</v>
      </c>
      <c r="AF9" s="4" t="str">
        <f t="shared" si="6"/>
        <v>mié</v>
      </c>
      <c r="AG9" s="4" t="str">
        <f t="shared" si="6"/>
        <v>jue</v>
      </c>
      <c r="AH9" s="4" t="str">
        <f t="shared" si="6"/>
        <v>vie</v>
      </c>
      <c r="AI9" s="4" t="str">
        <f t="shared" si="6"/>
        <v>sáb</v>
      </c>
      <c r="AJ9" s="4" t="str">
        <f t="shared" si="6"/>
        <v>dom</v>
      </c>
      <c r="AK9" s="4" t="str">
        <f t="shared" si="6"/>
        <v>lun</v>
      </c>
      <c r="AL9" s="4" t="str">
        <f t="shared" si="6"/>
        <v>mar</v>
      </c>
      <c r="AM9" s="4" t="str">
        <f t="shared" si="6"/>
        <v>mié</v>
      </c>
      <c r="AN9" s="4" t="str">
        <f t="shared" si="6"/>
        <v>jue</v>
      </c>
      <c r="AO9" s="4" t="str">
        <f t="shared" si="6"/>
        <v>vie</v>
      </c>
      <c r="AP9" s="4" t="str">
        <f t="shared" si="6"/>
        <v>sáb</v>
      </c>
      <c r="AQ9" s="4" t="str">
        <f t="shared" si="6"/>
        <v>dom</v>
      </c>
      <c r="AR9" s="4" t="str">
        <f t="shared" si="6"/>
        <v>lun</v>
      </c>
      <c r="AS9" s="4" t="str">
        <f t="shared" si="6"/>
        <v>mar</v>
      </c>
      <c r="AT9" s="4" t="str">
        <f t="shared" si="6"/>
        <v>mié</v>
      </c>
      <c r="AU9" s="4" t="str">
        <f t="shared" si="6"/>
        <v>jue</v>
      </c>
      <c r="AV9" s="4" t="str">
        <f t="shared" si="6"/>
        <v>vie</v>
      </c>
      <c r="AW9" s="4" t="str">
        <f t="shared" si="6"/>
        <v>sáb</v>
      </c>
      <c r="AX9" s="4" t="str">
        <f t="shared" si="6"/>
        <v>dom</v>
      </c>
      <c r="AY9" s="4" t="str">
        <f t="shared" si="6"/>
        <v>lun</v>
      </c>
      <c r="AZ9" s="4" t="str">
        <f t="shared" si="6"/>
        <v>mar</v>
      </c>
      <c r="BA9" s="4" t="str">
        <f t="shared" si="6"/>
        <v>mié</v>
      </c>
      <c r="BB9" s="4" t="str">
        <f t="shared" si="6"/>
        <v>jue</v>
      </c>
      <c r="BC9" s="4" t="str">
        <f t="shared" si="6"/>
        <v>vie</v>
      </c>
      <c r="BD9" s="4" t="str">
        <f t="shared" si="6"/>
        <v>sáb</v>
      </c>
      <c r="BE9" s="4" t="str">
        <f t="shared" si="6"/>
        <v>dom</v>
      </c>
      <c r="BF9" s="4" t="str">
        <f t="shared" si="6"/>
        <v>lun</v>
      </c>
      <c r="BG9" s="4" t="str">
        <f t="shared" si="6"/>
        <v>mar</v>
      </c>
      <c r="BH9" s="4" t="str">
        <f t="shared" si="6"/>
        <v>mié</v>
      </c>
      <c r="BI9" s="4" t="str">
        <f t="shared" si="6"/>
        <v>jue</v>
      </c>
      <c r="BJ9" s="4" t="str">
        <f t="shared" si="6"/>
        <v>vie</v>
      </c>
      <c r="BK9" s="4" t="str">
        <f t="shared" si="6"/>
        <v>sáb</v>
      </c>
      <c r="BL9" s="4" t="str">
        <f t="shared" si="6"/>
        <v>dom</v>
      </c>
      <c r="BM9" s="4" t="str">
        <f t="shared" si="6"/>
        <v>lun</v>
      </c>
      <c r="BN9" s="4" t="str">
        <f t="shared" si="6"/>
        <v>mar</v>
      </c>
      <c r="BO9" s="4" t="str">
        <f t="shared" si="6"/>
        <v>mié</v>
      </c>
      <c r="BP9" s="4" t="str">
        <f t="shared" si="6"/>
        <v>jue</v>
      </c>
      <c r="BQ9" s="4" t="str">
        <f t="shared" si="6"/>
        <v>vie</v>
      </c>
      <c r="BR9" s="4" t="str">
        <f t="shared" si="6"/>
        <v>sáb</v>
      </c>
      <c r="BS9" s="4" t="str">
        <f t="shared" si="6"/>
        <v>dom</v>
      </c>
      <c r="BT9" s="4" t="str">
        <f t="shared" si="6"/>
        <v>lun</v>
      </c>
      <c r="BU9" s="4" t="str">
        <f t="shared" ref="BU9:EF9" si="7">TEXT(BU8,"DDD")</f>
        <v>mar</v>
      </c>
      <c r="BV9" s="4" t="str">
        <f t="shared" si="7"/>
        <v>mié</v>
      </c>
      <c r="BW9" s="4" t="str">
        <f t="shared" si="7"/>
        <v>jue</v>
      </c>
      <c r="BX9" s="4" t="str">
        <f t="shared" si="7"/>
        <v>vie</v>
      </c>
      <c r="BY9" s="4" t="str">
        <f t="shared" si="7"/>
        <v>sáb</v>
      </c>
      <c r="BZ9" s="4" t="str">
        <f t="shared" si="7"/>
        <v>dom</v>
      </c>
      <c r="CA9" s="4" t="str">
        <f t="shared" si="7"/>
        <v>lun</v>
      </c>
      <c r="CB9" s="4" t="str">
        <f t="shared" si="7"/>
        <v>mar</v>
      </c>
      <c r="CC9" s="4" t="str">
        <f t="shared" si="7"/>
        <v>mié</v>
      </c>
      <c r="CD9" s="4" t="str">
        <f t="shared" si="7"/>
        <v>jue</v>
      </c>
      <c r="CE9" s="4" t="str">
        <f t="shared" si="7"/>
        <v>vie</v>
      </c>
      <c r="CF9" s="4" t="str">
        <f t="shared" si="7"/>
        <v>sáb</v>
      </c>
      <c r="CG9" s="4" t="str">
        <f t="shared" si="7"/>
        <v>dom</v>
      </c>
      <c r="CH9" s="4" t="str">
        <f t="shared" si="7"/>
        <v>lun</v>
      </c>
      <c r="CI9" s="4" t="str">
        <f t="shared" si="7"/>
        <v>mar</v>
      </c>
      <c r="CJ9" s="4" t="str">
        <f t="shared" si="7"/>
        <v>mié</v>
      </c>
      <c r="CK9" s="4" t="str">
        <f t="shared" si="7"/>
        <v>jue</v>
      </c>
      <c r="CL9" s="4" t="str">
        <f t="shared" si="7"/>
        <v>vie</v>
      </c>
      <c r="CM9" s="4" t="str">
        <f t="shared" si="7"/>
        <v>sáb</v>
      </c>
      <c r="CN9" s="4" t="str">
        <f t="shared" si="7"/>
        <v>dom</v>
      </c>
      <c r="CO9" s="4" t="str">
        <f t="shared" si="7"/>
        <v>lun</v>
      </c>
      <c r="CP9" s="4" t="str">
        <f t="shared" si="7"/>
        <v>mar</v>
      </c>
      <c r="CQ9" s="4" t="str">
        <f t="shared" si="7"/>
        <v>mié</v>
      </c>
      <c r="CR9" s="4" t="str">
        <f t="shared" si="7"/>
        <v>jue</v>
      </c>
      <c r="CS9" s="4" t="str">
        <f t="shared" si="7"/>
        <v>vie</v>
      </c>
      <c r="CT9" s="4" t="str">
        <f t="shared" si="7"/>
        <v>sáb</v>
      </c>
      <c r="CU9" s="4" t="str">
        <f t="shared" si="7"/>
        <v>dom</v>
      </c>
      <c r="CV9" s="4" t="str">
        <f t="shared" si="7"/>
        <v>lun</v>
      </c>
      <c r="CW9" s="4" t="str">
        <f t="shared" si="7"/>
        <v>mar</v>
      </c>
      <c r="CX9" s="4" t="str">
        <f t="shared" si="7"/>
        <v>mié</v>
      </c>
      <c r="CY9" s="4" t="str">
        <f t="shared" si="7"/>
        <v>jue</v>
      </c>
      <c r="CZ9" s="4" t="str">
        <f t="shared" si="7"/>
        <v>vie</v>
      </c>
      <c r="DA9" s="4" t="str">
        <f t="shared" si="7"/>
        <v>sáb</v>
      </c>
      <c r="DB9" s="4" t="str">
        <f t="shared" si="7"/>
        <v>dom</v>
      </c>
      <c r="DC9" s="4" t="str">
        <f t="shared" si="7"/>
        <v>lun</v>
      </c>
      <c r="DD9" s="4" t="str">
        <f t="shared" si="7"/>
        <v>mar</v>
      </c>
      <c r="DE9" s="4" t="str">
        <f t="shared" si="7"/>
        <v>mié</v>
      </c>
      <c r="DF9" s="4" t="str">
        <f t="shared" si="7"/>
        <v>jue</v>
      </c>
      <c r="DG9" s="4" t="str">
        <f t="shared" si="7"/>
        <v>vie</v>
      </c>
      <c r="DH9" s="4" t="str">
        <f t="shared" si="7"/>
        <v>sáb</v>
      </c>
      <c r="DI9" s="4" t="str">
        <f t="shared" si="7"/>
        <v>dom</v>
      </c>
      <c r="DJ9" s="4" t="str">
        <f t="shared" si="7"/>
        <v>lun</v>
      </c>
      <c r="DK9" s="4" t="str">
        <f t="shared" si="7"/>
        <v>mar</v>
      </c>
      <c r="DL9" s="4" t="str">
        <f t="shared" si="7"/>
        <v>mié</v>
      </c>
      <c r="DM9" s="4" t="str">
        <f t="shared" si="7"/>
        <v>jue</v>
      </c>
      <c r="DN9" s="4" t="str">
        <f t="shared" si="7"/>
        <v>vie</v>
      </c>
      <c r="DO9" s="4" t="str">
        <f t="shared" si="7"/>
        <v>sáb</v>
      </c>
      <c r="DP9" s="4" t="str">
        <f t="shared" si="7"/>
        <v>dom</v>
      </c>
      <c r="DQ9" s="4" t="str">
        <f t="shared" si="7"/>
        <v>lun</v>
      </c>
      <c r="DR9" s="4" t="str">
        <f t="shared" si="7"/>
        <v>mar</v>
      </c>
      <c r="DS9" s="4" t="str">
        <f t="shared" si="7"/>
        <v>mié</v>
      </c>
      <c r="DT9" s="4" t="str">
        <f t="shared" si="7"/>
        <v>jue</v>
      </c>
      <c r="DU9" s="4" t="str">
        <f t="shared" si="7"/>
        <v>vie</v>
      </c>
      <c r="DV9" s="4" t="str">
        <f t="shared" si="7"/>
        <v>sáb</v>
      </c>
      <c r="DW9" s="4" t="str">
        <f t="shared" si="7"/>
        <v>dom</v>
      </c>
      <c r="DX9" s="4" t="str">
        <f t="shared" si="7"/>
        <v>lun</v>
      </c>
      <c r="DY9" s="4" t="str">
        <f t="shared" si="7"/>
        <v>mar</v>
      </c>
      <c r="DZ9" s="4" t="str">
        <f t="shared" si="7"/>
        <v>mié</v>
      </c>
      <c r="EA9" s="4" t="str">
        <f t="shared" si="7"/>
        <v>jue</v>
      </c>
      <c r="EB9" s="4" t="str">
        <f t="shared" si="7"/>
        <v>vie</v>
      </c>
      <c r="EC9" s="4" t="str">
        <f t="shared" si="7"/>
        <v>sáb</v>
      </c>
      <c r="ED9" s="4" t="str">
        <f t="shared" si="7"/>
        <v>dom</v>
      </c>
      <c r="EE9" s="4" t="str">
        <f t="shared" si="7"/>
        <v>lun</v>
      </c>
      <c r="EF9" s="4" t="str">
        <f t="shared" si="7"/>
        <v>mar</v>
      </c>
      <c r="EG9" s="4" t="str">
        <f t="shared" ref="EG9:GR9" si="8">TEXT(EG8,"DDD")</f>
        <v>mié</v>
      </c>
      <c r="EH9" s="4" t="str">
        <f t="shared" si="8"/>
        <v>jue</v>
      </c>
      <c r="EI9" s="4" t="str">
        <f t="shared" si="8"/>
        <v>vie</v>
      </c>
      <c r="EJ9" s="4" t="str">
        <f t="shared" si="8"/>
        <v>sáb</v>
      </c>
      <c r="EK9" s="4" t="str">
        <f t="shared" si="8"/>
        <v>dom</v>
      </c>
      <c r="EL9" s="4" t="str">
        <f t="shared" si="8"/>
        <v>lun</v>
      </c>
      <c r="EM9" s="4" t="str">
        <f t="shared" si="8"/>
        <v>mar</v>
      </c>
      <c r="EN9" s="4" t="str">
        <f t="shared" si="8"/>
        <v>mié</v>
      </c>
      <c r="EO9" s="4" t="str">
        <f t="shared" si="8"/>
        <v>jue</v>
      </c>
      <c r="EP9" s="4" t="str">
        <f t="shared" si="8"/>
        <v>vie</v>
      </c>
      <c r="EQ9" s="4" t="str">
        <f t="shared" si="8"/>
        <v>sáb</v>
      </c>
      <c r="ER9" s="4" t="str">
        <f t="shared" si="8"/>
        <v>dom</v>
      </c>
      <c r="ES9" s="4" t="str">
        <f t="shared" si="8"/>
        <v>lun</v>
      </c>
      <c r="ET9" s="4" t="str">
        <f t="shared" si="8"/>
        <v>mar</v>
      </c>
      <c r="EU9" s="4" t="str">
        <f t="shared" si="8"/>
        <v>mié</v>
      </c>
      <c r="EV9" s="4" t="str">
        <f t="shared" si="8"/>
        <v>jue</v>
      </c>
      <c r="EW9" s="4" t="str">
        <f t="shared" si="8"/>
        <v>vie</v>
      </c>
      <c r="EX9" s="4" t="str">
        <f t="shared" si="8"/>
        <v>sáb</v>
      </c>
      <c r="EY9" s="4" t="str">
        <f t="shared" si="8"/>
        <v>dom</v>
      </c>
      <c r="EZ9" s="4" t="str">
        <f t="shared" si="8"/>
        <v>lun</v>
      </c>
      <c r="FA9" s="4" t="str">
        <f t="shared" si="8"/>
        <v>mar</v>
      </c>
      <c r="FB9" s="4" t="str">
        <f t="shared" si="8"/>
        <v>mié</v>
      </c>
      <c r="FC9" s="4" t="str">
        <f t="shared" si="8"/>
        <v>jue</v>
      </c>
      <c r="FD9" s="4" t="str">
        <f t="shared" si="8"/>
        <v>vie</v>
      </c>
      <c r="FE9" s="4" t="str">
        <f t="shared" si="8"/>
        <v>sáb</v>
      </c>
      <c r="FF9" s="4" t="str">
        <f t="shared" si="8"/>
        <v>dom</v>
      </c>
      <c r="FG9" s="4" t="str">
        <f t="shared" si="8"/>
        <v>lun</v>
      </c>
      <c r="FH9" s="4" t="str">
        <f t="shared" si="8"/>
        <v>mar</v>
      </c>
      <c r="FI9" s="4" t="str">
        <f t="shared" si="8"/>
        <v>mié</v>
      </c>
      <c r="FJ9" s="4" t="str">
        <f t="shared" si="8"/>
        <v>jue</v>
      </c>
      <c r="FK9" s="4" t="str">
        <f t="shared" si="8"/>
        <v>vie</v>
      </c>
      <c r="FL9" s="4" t="str">
        <f t="shared" si="8"/>
        <v>sáb</v>
      </c>
      <c r="FM9" s="4" t="str">
        <f t="shared" si="8"/>
        <v>dom</v>
      </c>
      <c r="FN9" s="4" t="str">
        <f t="shared" si="8"/>
        <v>lun</v>
      </c>
      <c r="FO9" s="4" t="str">
        <f t="shared" si="8"/>
        <v>mar</v>
      </c>
      <c r="FP9" s="4" t="str">
        <f t="shared" si="8"/>
        <v>mié</v>
      </c>
      <c r="FQ9" s="4" t="str">
        <f t="shared" si="8"/>
        <v>jue</v>
      </c>
      <c r="FR9" s="4" t="str">
        <f t="shared" si="8"/>
        <v>vie</v>
      </c>
      <c r="FS9" s="4" t="str">
        <f t="shared" si="8"/>
        <v>sáb</v>
      </c>
      <c r="FT9" s="4" t="str">
        <f t="shared" si="8"/>
        <v>dom</v>
      </c>
      <c r="FU9" s="4" t="str">
        <f t="shared" si="8"/>
        <v>lun</v>
      </c>
      <c r="FV9" s="4" t="str">
        <f t="shared" si="8"/>
        <v>mar</v>
      </c>
      <c r="FW9" s="4" t="str">
        <f t="shared" si="8"/>
        <v>mié</v>
      </c>
      <c r="FX9" s="4" t="str">
        <f t="shared" si="8"/>
        <v>jue</v>
      </c>
      <c r="FY9" s="4" t="str">
        <f t="shared" si="8"/>
        <v>vie</v>
      </c>
      <c r="FZ9" s="4" t="str">
        <f t="shared" si="8"/>
        <v>sáb</v>
      </c>
      <c r="GA9" s="4" t="str">
        <f t="shared" si="8"/>
        <v>dom</v>
      </c>
      <c r="GB9" s="4" t="str">
        <f t="shared" si="8"/>
        <v>lun</v>
      </c>
      <c r="GC9" s="4" t="str">
        <f t="shared" si="8"/>
        <v>mar</v>
      </c>
      <c r="GD9" s="4" t="str">
        <f t="shared" si="8"/>
        <v>mié</v>
      </c>
      <c r="GE9" s="4" t="str">
        <f t="shared" si="8"/>
        <v>jue</v>
      </c>
      <c r="GF9" s="4" t="str">
        <f t="shared" si="8"/>
        <v>vie</v>
      </c>
      <c r="GG9" s="4" t="str">
        <f t="shared" si="8"/>
        <v>sáb</v>
      </c>
      <c r="GH9" s="4" t="str">
        <f t="shared" si="8"/>
        <v>dom</v>
      </c>
      <c r="GI9" s="4" t="str">
        <f t="shared" si="8"/>
        <v>lun</v>
      </c>
      <c r="GJ9" s="4" t="str">
        <f t="shared" si="8"/>
        <v>mar</v>
      </c>
      <c r="GK9" s="4" t="str">
        <f t="shared" si="8"/>
        <v>mié</v>
      </c>
      <c r="GL9" s="4" t="str">
        <f t="shared" si="8"/>
        <v>jue</v>
      </c>
      <c r="GM9" s="4" t="str">
        <f t="shared" si="8"/>
        <v>vie</v>
      </c>
      <c r="GN9" s="4" t="str">
        <f t="shared" si="8"/>
        <v>sáb</v>
      </c>
      <c r="GO9" s="4" t="str">
        <f t="shared" si="8"/>
        <v>dom</v>
      </c>
      <c r="GP9" s="4" t="str">
        <f t="shared" si="8"/>
        <v>lun</v>
      </c>
      <c r="GQ9" s="4" t="str">
        <f t="shared" si="8"/>
        <v>mar</v>
      </c>
      <c r="GR9" s="4" t="str">
        <f t="shared" si="8"/>
        <v>mié</v>
      </c>
      <c r="GS9" s="4" t="str">
        <f t="shared" ref="GS9:JC9" si="9">TEXT(GS8,"DDD")</f>
        <v>jue</v>
      </c>
      <c r="GT9" s="4" t="str">
        <f t="shared" si="9"/>
        <v>vie</v>
      </c>
      <c r="GU9" s="4" t="str">
        <f t="shared" si="9"/>
        <v>sáb</v>
      </c>
      <c r="GV9" s="4" t="str">
        <f t="shared" si="9"/>
        <v>dom</v>
      </c>
      <c r="GW9" s="4" t="str">
        <f t="shared" si="9"/>
        <v>lun</v>
      </c>
      <c r="GX9" s="4" t="str">
        <f t="shared" si="9"/>
        <v>mar</v>
      </c>
      <c r="GY9" s="4" t="str">
        <f t="shared" si="9"/>
        <v>mié</v>
      </c>
      <c r="GZ9" s="4" t="str">
        <f t="shared" si="9"/>
        <v>jue</v>
      </c>
      <c r="HA9" s="4" t="str">
        <f t="shared" si="9"/>
        <v>vie</v>
      </c>
      <c r="HB9" s="4" t="str">
        <f t="shared" si="9"/>
        <v>sáb</v>
      </c>
      <c r="HC9" s="4" t="str">
        <f t="shared" si="9"/>
        <v>dom</v>
      </c>
      <c r="HD9" s="4" t="str">
        <f t="shared" si="9"/>
        <v>lun</v>
      </c>
      <c r="HE9" s="4" t="str">
        <f t="shared" si="9"/>
        <v>mar</v>
      </c>
      <c r="HF9" s="4" t="str">
        <f t="shared" si="9"/>
        <v>mié</v>
      </c>
      <c r="HG9" s="4" t="str">
        <f t="shared" si="9"/>
        <v>jue</v>
      </c>
      <c r="HH9" s="4" t="str">
        <f t="shared" si="9"/>
        <v>vie</v>
      </c>
      <c r="HI9" s="4" t="str">
        <f t="shared" si="9"/>
        <v>sáb</v>
      </c>
      <c r="HJ9" s="4" t="str">
        <f t="shared" si="9"/>
        <v>dom</v>
      </c>
      <c r="HK9" s="4" t="str">
        <f t="shared" si="9"/>
        <v>lun</v>
      </c>
      <c r="HL9" s="4" t="str">
        <f t="shared" si="9"/>
        <v>mar</v>
      </c>
      <c r="HM9" s="4" t="str">
        <f t="shared" si="9"/>
        <v>mié</v>
      </c>
      <c r="HN9" s="4" t="str">
        <f t="shared" si="9"/>
        <v>jue</v>
      </c>
      <c r="HO9" s="4" t="str">
        <f t="shared" si="9"/>
        <v>vie</v>
      </c>
      <c r="HP9" s="4" t="str">
        <f t="shared" si="9"/>
        <v>sáb</v>
      </c>
      <c r="HQ9" s="4" t="str">
        <f t="shared" si="9"/>
        <v>dom</v>
      </c>
      <c r="HR9" s="4" t="str">
        <f t="shared" si="9"/>
        <v>lun</v>
      </c>
      <c r="HS9" s="4" t="str">
        <f t="shared" si="9"/>
        <v>mar</v>
      </c>
      <c r="HT9" s="4" t="str">
        <f t="shared" si="9"/>
        <v>mié</v>
      </c>
      <c r="HU9" s="4" t="str">
        <f t="shared" si="9"/>
        <v>jue</v>
      </c>
      <c r="HV9" s="4" t="str">
        <f t="shared" si="9"/>
        <v>vie</v>
      </c>
      <c r="HW9" s="4" t="str">
        <f t="shared" si="9"/>
        <v>sáb</v>
      </c>
      <c r="HX9" s="4" t="str">
        <f t="shared" si="9"/>
        <v>dom</v>
      </c>
      <c r="HY9" s="4" t="str">
        <f t="shared" si="9"/>
        <v>lun</v>
      </c>
      <c r="HZ9" s="4" t="str">
        <f t="shared" si="9"/>
        <v>mar</v>
      </c>
      <c r="IA9" s="4" t="str">
        <f t="shared" si="9"/>
        <v>mié</v>
      </c>
      <c r="IB9" s="4" t="str">
        <f t="shared" si="9"/>
        <v>jue</v>
      </c>
      <c r="IC9" s="4" t="str">
        <f t="shared" si="9"/>
        <v>vie</v>
      </c>
      <c r="ID9" s="4" t="str">
        <f t="shared" si="9"/>
        <v>sáb</v>
      </c>
      <c r="IE9" s="4" t="str">
        <f t="shared" si="9"/>
        <v>dom</v>
      </c>
      <c r="IF9" s="4" t="str">
        <f t="shared" si="9"/>
        <v>lun</v>
      </c>
      <c r="IG9" s="4" t="str">
        <f t="shared" si="9"/>
        <v>mar</v>
      </c>
      <c r="IH9" s="4" t="str">
        <f t="shared" si="9"/>
        <v>mié</v>
      </c>
      <c r="II9" s="4" t="str">
        <f t="shared" si="9"/>
        <v>jue</v>
      </c>
      <c r="IJ9" s="4" t="str">
        <f t="shared" si="9"/>
        <v>vie</v>
      </c>
      <c r="IK9" s="4" t="str">
        <f t="shared" si="9"/>
        <v>sáb</v>
      </c>
      <c r="IL9" s="4" t="str">
        <f t="shared" si="9"/>
        <v>dom</v>
      </c>
      <c r="IM9" s="4" t="str">
        <f t="shared" si="9"/>
        <v>lun</v>
      </c>
      <c r="IN9" s="4" t="str">
        <f t="shared" si="9"/>
        <v>mar</v>
      </c>
      <c r="IO9" s="4" t="str">
        <f t="shared" si="9"/>
        <v>mié</v>
      </c>
      <c r="IP9" s="4" t="str">
        <f t="shared" si="9"/>
        <v>jue</v>
      </c>
      <c r="IQ9" s="4" t="str">
        <f t="shared" si="9"/>
        <v>lun</v>
      </c>
      <c r="IR9" s="4" t="str">
        <f t="shared" si="9"/>
        <v>mar</v>
      </c>
      <c r="IS9" s="4" t="str">
        <f t="shared" si="9"/>
        <v>mié</v>
      </c>
      <c r="IT9" s="4" t="str">
        <f t="shared" si="9"/>
        <v>jue</v>
      </c>
      <c r="IU9" s="4" t="str">
        <f t="shared" si="9"/>
        <v>vie</v>
      </c>
      <c r="IV9" s="4" t="str">
        <f t="shared" si="9"/>
        <v>sáb</v>
      </c>
      <c r="IW9" s="4" t="str">
        <f t="shared" si="9"/>
        <v>dom</v>
      </c>
      <c r="IX9" s="4" t="str">
        <f t="shared" si="9"/>
        <v>lun</v>
      </c>
      <c r="IY9" s="4" t="str">
        <f t="shared" si="9"/>
        <v>mar</v>
      </c>
      <c r="IZ9" s="4" t="str">
        <f t="shared" si="9"/>
        <v>mié</v>
      </c>
      <c r="JA9" s="4" t="str">
        <f t="shared" si="9"/>
        <v>jue</v>
      </c>
      <c r="JB9" s="4" t="str">
        <f t="shared" si="9"/>
        <v>vie</v>
      </c>
      <c r="JC9" s="4" t="str">
        <f t="shared" si="9"/>
        <v>sáb</v>
      </c>
      <c r="JD9" s="4" t="str">
        <f t="shared" ref="JD9:LO9" si="10">TEXT(JD8,"DDD")</f>
        <v>dom</v>
      </c>
      <c r="JE9" s="4" t="str">
        <f t="shared" si="10"/>
        <v>lun</v>
      </c>
      <c r="JF9" s="4" t="str">
        <f t="shared" si="10"/>
        <v>mar</v>
      </c>
      <c r="JG9" s="4" t="str">
        <f t="shared" si="10"/>
        <v>mié</v>
      </c>
      <c r="JH9" s="4" t="str">
        <f t="shared" si="10"/>
        <v>jue</v>
      </c>
      <c r="JI9" s="4" t="str">
        <f t="shared" si="10"/>
        <v>vie</v>
      </c>
      <c r="JJ9" s="4" t="str">
        <f t="shared" si="10"/>
        <v>sáb</v>
      </c>
      <c r="JK9" s="4" t="str">
        <f t="shared" si="10"/>
        <v>dom</v>
      </c>
      <c r="JL9" s="4" t="str">
        <f t="shared" si="10"/>
        <v>lun</v>
      </c>
      <c r="JM9" s="4" t="str">
        <f t="shared" si="10"/>
        <v>mar</v>
      </c>
      <c r="JN9" s="4" t="str">
        <f t="shared" si="10"/>
        <v>mié</v>
      </c>
      <c r="JO9" s="4" t="str">
        <f t="shared" si="10"/>
        <v>jue</v>
      </c>
      <c r="JP9" s="4" t="str">
        <f t="shared" si="10"/>
        <v>vie</v>
      </c>
      <c r="JQ9" s="4" t="str">
        <f t="shared" si="10"/>
        <v>sáb</v>
      </c>
      <c r="JR9" s="4" t="str">
        <f t="shared" si="10"/>
        <v>dom</v>
      </c>
      <c r="JS9" s="4" t="str">
        <f t="shared" si="10"/>
        <v>lun</v>
      </c>
      <c r="JT9" s="4" t="str">
        <f t="shared" si="10"/>
        <v>mar</v>
      </c>
      <c r="JU9" s="4" t="str">
        <f t="shared" si="10"/>
        <v>mié</v>
      </c>
      <c r="JV9" s="4" t="str">
        <f t="shared" si="10"/>
        <v>jue</v>
      </c>
      <c r="JW9" s="4" t="str">
        <f t="shared" si="10"/>
        <v>vie</v>
      </c>
      <c r="JX9" s="4" t="str">
        <f t="shared" si="10"/>
        <v>sáb</v>
      </c>
      <c r="JY9" s="4" t="str">
        <f t="shared" si="10"/>
        <v>dom</v>
      </c>
      <c r="JZ9" s="4" t="str">
        <f t="shared" si="10"/>
        <v>lun</v>
      </c>
      <c r="KA9" s="4" t="str">
        <f t="shared" si="10"/>
        <v>mar</v>
      </c>
      <c r="KB9" s="4" t="str">
        <f t="shared" si="10"/>
        <v>mié</v>
      </c>
      <c r="KC9" s="4" t="str">
        <f t="shared" si="10"/>
        <v>jue</v>
      </c>
      <c r="KD9" s="4" t="str">
        <f t="shared" si="10"/>
        <v>vie</v>
      </c>
      <c r="KE9" s="4" t="str">
        <f t="shared" si="10"/>
        <v>sáb</v>
      </c>
      <c r="KF9" s="4" t="str">
        <f t="shared" si="10"/>
        <v>dom</v>
      </c>
      <c r="KG9" s="4" t="str">
        <f t="shared" si="10"/>
        <v>lun</v>
      </c>
      <c r="KH9" s="4" t="str">
        <f t="shared" si="10"/>
        <v>mar</v>
      </c>
      <c r="KI9" s="4" t="str">
        <f t="shared" si="10"/>
        <v>mié</v>
      </c>
      <c r="KJ9" s="4" t="str">
        <f t="shared" si="10"/>
        <v>jue</v>
      </c>
      <c r="KK9" s="4" t="str">
        <f t="shared" si="10"/>
        <v>vie</v>
      </c>
      <c r="KL9" s="4" t="str">
        <f t="shared" si="10"/>
        <v>sáb</v>
      </c>
      <c r="KM9" s="4" t="str">
        <f t="shared" si="10"/>
        <v>dom</v>
      </c>
      <c r="KN9" s="4" t="str">
        <f t="shared" si="10"/>
        <v>lun</v>
      </c>
      <c r="KO9" s="4" t="str">
        <f t="shared" si="10"/>
        <v>mar</v>
      </c>
      <c r="KP9" s="4" t="str">
        <f t="shared" si="10"/>
        <v>mié</v>
      </c>
      <c r="KQ9" s="4" t="str">
        <f t="shared" si="10"/>
        <v>jue</v>
      </c>
      <c r="KR9" s="4" t="str">
        <f t="shared" si="10"/>
        <v>vie</v>
      </c>
      <c r="KS9" s="4" t="str">
        <f t="shared" si="10"/>
        <v>sáb</v>
      </c>
      <c r="KT9" s="4" t="str">
        <f t="shared" si="10"/>
        <v>dom</v>
      </c>
      <c r="KU9" s="4" t="str">
        <f t="shared" si="10"/>
        <v>lun</v>
      </c>
      <c r="KV9" s="4" t="str">
        <f t="shared" si="10"/>
        <v>mar</v>
      </c>
      <c r="KW9" s="4" t="str">
        <f t="shared" si="10"/>
        <v>mié</v>
      </c>
      <c r="KX9" s="4" t="str">
        <f t="shared" si="10"/>
        <v>jue</v>
      </c>
      <c r="KY9" s="4" t="str">
        <f t="shared" si="10"/>
        <v>vie</v>
      </c>
      <c r="KZ9" s="4" t="str">
        <f t="shared" si="10"/>
        <v>sáb</v>
      </c>
      <c r="LA9" s="4" t="str">
        <f t="shared" si="10"/>
        <v>dom</v>
      </c>
      <c r="LB9" s="4" t="str">
        <f t="shared" si="10"/>
        <v>lun</v>
      </c>
      <c r="LC9" s="4" t="str">
        <f t="shared" si="10"/>
        <v>mar</v>
      </c>
      <c r="LD9" s="4" t="str">
        <f t="shared" si="10"/>
        <v>mié</v>
      </c>
      <c r="LE9" s="4" t="str">
        <f t="shared" si="10"/>
        <v>jue</v>
      </c>
      <c r="LF9" s="4" t="str">
        <f t="shared" si="10"/>
        <v>vie</v>
      </c>
      <c r="LG9" s="4" t="str">
        <f t="shared" si="10"/>
        <v>sáb</v>
      </c>
      <c r="LH9" s="4" t="str">
        <f t="shared" si="10"/>
        <v>dom</v>
      </c>
      <c r="LI9" s="4" t="str">
        <f t="shared" si="10"/>
        <v>lun</v>
      </c>
      <c r="LJ9" s="4" t="str">
        <f t="shared" si="10"/>
        <v>mar</v>
      </c>
      <c r="LK9" s="4" t="str">
        <f t="shared" si="10"/>
        <v>mié</v>
      </c>
      <c r="LL9" s="4" t="str">
        <f t="shared" si="10"/>
        <v>jue</v>
      </c>
      <c r="LM9" s="4" t="str">
        <f t="shared" si="10"/>
        <v>vie</v>
      </c>
      <c r="LN9" s="4" t="str">
        <f t="shared" si="10"/>
        <v>sáb</v>
      </c>
      <c r="LO9" s="4" t="str">
        <f t="shared" si="10"/>
        <v>dom</v>
      </c>
      <c r="LP9" s="4" t="str">
        <f t="shared" ref="LP9:NG9" si="11">TEXT(LP8,"DDD")</f>
        <v>lun</v>
      </c>
      <c r="LQ9" s="4" t="str">
        <f t="shared" si="11"/>
        <v>mar</v>
      </c>
      <c r="LR9" s="4" t="str">
        <f t="shared" si="11"/>
        <v>mié</v>
      </c>
      <c r="LS9" s="4" t="str">
        <f t="shared" si="11"/>
        <v>jue</v>
      </c>
      <c r="LT9" s="4" t="str">
        <f t="shared" si="11"/>
        <v>vie</v>
      </c>
      <c r="LU9" s="4" t="str">
        <f t="shared" si="11"/>
        <v>sáb</v>
      </c>
      <c r="LV9" s="4" t="str">
        <f t="shared" si="11"/>
        <v>dom</v>
      </c>
      <c r="LW9" s="4" t="str">
        <f t="shared" si="11"/>
        <v>lun</v>
      </c>
      <c r="LX9" s="4" t="str">
        <f t="shared" si="11"/>
        <v>mar</v>
      </c>
      <c r="LY9" s="4" t="str">
        <f t="shared" si="11"/>
        <v>mié</v>
      </c>
      <c r="LZ9" s="4" t="str">
        <f t="shared" si="11"/>
        <v>jue</v>
      </c>
      <c r="MA9" s="4" t="str">
        <f t="shared" si="11"/>
        <v>vie</v>
      </c>
      <c r="MB9" s="4" t="str">
        <f t="shared" si="11"/>
        <v>sáb</v>
      </c>
      <c r="MC9" s="4" t="str">
        <f t="shared" si="11"/>
        <v>dom</v>
      </c>
      <c r="MD9" s="4" t="str">
        <f t="shared" si="11"/>
        <v>lun</v>
      </c>
      <c r="ME9" s="4" t="str">
        <f t="shared" si="11"/>
        <v>mar</v>
      </c>
      <c r="MF9" s="4" t="str">
        <f t="shared" si="11"/>
        <v>mié</v>
      </c>
      <c r="MG9" s="4" t="str">
        <f t="shared" si="11"/>
        <v>jue</v>
      </c>
      <c r="MH9" s="4" t="str">
        <f t="shared" si="11"/>
        <v>vie</v>
      </c>
      <c r="MI9" s="4" t="str">
        <f t="shared" si="11"/>
        <v>sáb</v>
      </c>
      <c r="MJ9" s="4" t="str">
        <f t="shared" si="11"/>
        <v>dom</v>
      </c>
      <c r="MK9" s="4" t="str">
        <f t="shared" si="11"/>
        <v>lun</v>
      </c>
      <c r="ML9" s="4" t="str">
        <f t="shared" si="11"/>
        <v>mar</v>
      </c>
      <c r="MM9" s="4" t="str">
        <f t="shared" si="11"/>
        <v>mié</v>
      </c>
      <c r="MN9" s="4" t="str">
        <f t="shared" si="11"/>
        <v>jue</v>
      </c>
      <c r="MO9" s="4" t="str">
        <f t="shared" si="11"/>
        <v>vie</v>
      </c>
      <c r="MP9" s="4" t="str">
        <f t="shared" si="11"/>
        <v>sáb</v>
      </c>
      <c r="MQ9" s="4" t="str">
        <f t="shared" si="11"/>
        <v>dom</v>
      </c>
      <c r="MR9" s="4" t="str">
        <f t="shared" si="11"/>
        <v>lun</v>
      </c>
      <c r="MS9" s="4" t="str">
        <f t="shared" si="11"/>
        <v>mar</v>
      </c>
      <c r="MT9" s="4" t="str">
        <f t="shared" si="11"/>
        <v>mié</v>
      </c>
      <c r="MU9" s="4" t="str">
        <f t="shared" si="11"/>
        <v>jue</v>
      </c>
      <c r="MV9" s="4" t="str">
        <f t="shared" si="11"/>
        <v>vie</v>
      </c>
      <c r="MW9" s="4" t="str">
        <f t="shared" si="11"/>
        <v>sáb</v>
      </c>
      <c r="MX9" s="4" t="str">
        <f t="shared" si="11"/>
        <v>dom</v>
      </c>
      <c r="MY9" s="4" t="str">
        <f t="shared" si="11"/>
        <v>lun</v>
      </c>
      <c r="MZ9" s="4" t="str">
        <f t="shared" si="11"/>
        <v>mar</v>
      </c>
      <c r="NA9" s="4" t="str">
        <f t="shared" si="11"/>
        <v>mié</v>
      </c>
      <c r="NB9" s="4" t="str">
        <f t="shared" si="11"/>
        <v>jue</v>
      </c>
      <c r="NC9" s="4" t="str">
        <f t="shared" si="11"/>
        <v>vie</v>
      </c>
      <c r="ND9" s="4" t="str">
        <f t="shared" si="11"/>
        <v>sáb</v>
      </c>
      <c r="NE9" s="4" t="str">
        <f t="shared" si="11"/>
        <v>dom</v>
      </c>
      <c r="NF9" s="4" t="str">
        <f t="shared" si="11"/>
        <v>lun</v>
      </c>
      <c r="NG9" s="4" t="str">
        <f t="shared" si="11"/>
        <v>mar</v>
      </c>
      <c r="NH9" s="19"/>
    </row>
    <row r="10" spans="1:372" s="2" customFormat="1" ht="31.5" customHeight="1" x14ac:dyDescent="0.25">
      <c r="A10" s="16" t="s">
        <v>14</v>
      </c>
      <c r="B10" s="13" t="s">
        <v>15</v>
      </c>
      <c r="C10" s="13" t="s">
        <v>16</v>
      </c>
      <c r="D10" s="14" t="s">
        <v>17</v>
      </c>
      <c r="E10" s="14" t="s">
        <v>18</v>
      </c>
      <c r="F10" s="22">
        <v>0.29166666666666669</v>
      </c>
      <c r="G10" s="15" t="s">
        <v>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36"/>
      <c r="IR10" s="36"/>
      <c r="IS10" s="36"/>
      <c r="IT10" s="36"/>
      <c r="IU10" s="36"/>
      <c r="IV10" s="36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19"/>
    </row>
    <row r="11" spans="1:372" s="2" customFormat="1" ht="31.5" customHeight="1" x14ac:dyDescent="0.25">
      <c r="A11" s="16" t="s">
        <v>19</v>
      </c>
      <c r="B11" s="13" t="s">
        <v>15</v>
      </c>
      <c r="C11" s="16" t="s">
        <v>16</v>
      </c>
      <c r="D11" s="14" t="s">
        <v>17</v>
      </c>
      <c r="E11" s="14" t="s">
        <v>18</v>
      </c>
      <c r="F11" s="22">
        <v>0.29166666666666669</v>
      </c>
      <c r="G11" s="15" t="s">
        <v>5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37"/>
      <c r="IR11" s="37"/>
      <c r="IS11" s="37"/>
      <c r="IT11" s="37"/>
      <c r="IU11" s="37"/>
      <c r="IV11" s="37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19"/>
    </row>
    <row r="12" spans="1:372" s="2" customFormat="1" ht="59.1" customHeight="1" x14ac:dyDescent="0.25">
      <c r="A12" s="21" t="s">
        <v>20</v>
      </c>
      <c r="B12" s="13" t="s">
        <v>15</v>
      </c>
      <c r="C12" s="16" t="s">
        <v>16</v>
      </c>
      <c r="D12" s="14" t="s">
        <v>17</v>
      </c>
      <c r="E12" s="14" t="s">
        <v>18</v>
      </c>
      <c r="F12" s="22">
        <v>0.29166666666666669</v>
      </c>
      <c r="G12" s="15" t="s">
        <v>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37"/>
      <c r="IR12" s="37"/>
      <c r="IS12" s="37"/>
      <c r="IT12" s="37"/>
      <c r="IU12" s="37"/>
      <c r="IV12" s="37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19"/>
    </row>
    <row r="13" spans="1:372" s="2" customFormat="1" ht="31.5" customHeight="1" x14ac:dyDescent="0.25">
      <c r="A13" s="21" t="s">
        <v>21</v>
      </c>
      <c r="B13" s="13" t="s">
        <v>15</v>
      </c>
      <c r="C13" s="16" t="s">
        <v>16</v>
      </c>
      <c r="D13" s="14" t="s">
        <v>17</v>
      </c>
      <c r="E13" s="14" t="s">
        <v>18</v>
      </c>
      <c r="F13" s="22">
        <v>0.29166666666666669</v>
      </c>
      <c r="G13" s="15" t="s">
        <v>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37"/>
      <c r="IR13" s="37"/>
      <c r="IS13" s="37"/>
      <c r="IT13" s="37"/>
      <c r="IU13" s="37"/>
      <c r="IV13" s="37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19"/>
    </row>
    <row r="14" spans="1:372" s="2" customFormat="1" ht="31.5" customHeight="1" x14ac:dyDescent="0.25">
      <c r="A14" s="16" t="s">
        <v>19</v>
      </c>
      <c r="B14" s="13" t="s">
        <v>15</v>
      </c>
      <c r="C14" s="16" t="s">
        <v>16</v>
      </c>
      <c r="D14" s="14" t="s">
        <v>17</v>
      </c>
      <c r="E14" s="14" t="s">
        <v>18</v>
      </c>
      <c r="F14" s="22">
        <v>0.29166666666666669</v>
      </c>
      <c r="G14" s="15" t="s">
        <v>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37"/>
      <c r="IR14" s="37"/>
      <c r="IS14" s="37"/>
      <c r="IT14" s="37"/>
      <c r="IU14" s="37"/>
      <c r="IV14" s="37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19"/>
    </row>
    <row r="15" spans="1:372" s="2" customFormat="1" ht="65.25" customHeight="1" x14ac:dyDescent="0.25">
      <c r="A15" s="21" t="s">
        <v>22</v>
      </c>
      <c r="B15" s="13" t="s">
        <v>23</v>
      </c>
      <c r="C15" s="16" t="s">
        <v>16</v>
      </c>
      <c r="D15" s="14" t="s">
        <v>17</v>
      </c>
      <c r="E15" s="14" t="s">
        <v>18</v>
      </c>
      <c r="F15" s="22">
        <v>0.29166666666666669</v>
      </c>
      <c r="G15" s="15" t="s">
        <v>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  <c r="JN15" s="31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19"/>
    </row>
    <row r="16" spans="1:372" s="2" customFormat="1" ht="55.5" customHeight="1" x14ac:dyDescent="0.25">
      <c r="A16" s="21" t="s">
        <v>24</v>
      </c>
      <c r="B16" s="13" t="s">
        <v>25</v>
      </c>
      <c r="C16" s="16" t="s">
        <v>16</v>
      </c>
      <c r="D16" s="14" t="s">
        <v>17</v>
      </c>
      <c r="E16" s="14" t="s">
        <v>18</v>
      </c>
      <c r="F16" s="22">
        <v>0.29166666666666669</v>
      </c>
      <c r="G16" s="15" t="s">
        <v>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31"/>
      <c r="IY16" s="31"/>
      <c r="IZ16" s="31"/>
      <c r="JA16" s="31"/>
      <c r="JB16" s="31"/>
      <c r="JC16" s="31"/>
      <c r="JD16" s="31"/>
      <c r="JE16" s="31"/>
      <c r="JF16" s="31"/>
      <c r="JG16" s="31"/>
      <c r="JH16" s="31"/>
      <c r="JI16" s="31"/>
      <c r="JJ16" s="31"/>
      <c r="JK16" s="31"/>
      <c r="JL16" s="31"/>
      <c r="JM16" s="31"/>
      <c r="JN16" s="31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19"/>
    </row>
    <row r="17" spans="1:372" s="2" customFormat="1" ht="54.95" customHeight="1" x14ac:dyDescent="0.25">
      <c r="A17" s="21" t="s">
        <v>26</v>
      </c>
      <c r="B17" s="16" t="s">
        <v>27</v>
      </c>
      <c r="C17" s="16" t="s">
        <v>16</v>
      </c>
      <c r="D17" s="14">
        <v>88</v>
      </c>
      <c r="E17" s="17">
        <v>45747</v>
      </c>
      <c r="F17" s="22">
        <v>0.29166666666666669</v>
      </c>
      <c r="G17" s="15" t="s">
        <v>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33"/>
      <c r="JP17" s="33"/>
      <c r="JQ17" s="33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19"/>
    </row>
    <row r="18" spans="1:372" s="2" customFormat="1" ht="31.5" customHeight="1" x14ac:dyDescent="0.25">
      <c r="A18" s="21" t="s">
        <v>28</v>
      </c>
      <c r="B18" s="17" t="s">
        <v>27</v>
      </c>
      <c r="C18" s="16" t="s">
        <v>16</v>
      </c>
      <c r="D18" s="14">
        <v>88</v>
      </c>
      <c r="E18" s="17">
        <v>45747</v>
      </c>
      <c r="F18" s="22">
        <v>0.29166666666666669</v>
      </c>
      <c r="G18" s="15" t="s">
        <v>5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33"/>
      <c r="JP18" s="33"/>
      <c r="JQ18" s="33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19"/>
    </row>
    <row r="19" spans="1:372" s="2" customFormat="1" ht="53.45" customHeight="1" x14ac:dyDescent="0.25">
      <c r="A19" s="21" t="s">
        <v>29</v>
      </c>
      <c r="B19" s="17" t="s">
        <v>30</v>
      </c>
      <c r="C19" s="16" t="s">
        <v>16</v>
      </c>
      <c r="D19" s="14">
        <v>92</v>
      </c>
      <c r="E19" s="14">
        <v>119</v>
      </c>
      <c r="F19" s="22">
        <v>0.29166666666666669</v>
      </c>
      <c r="G19" s="1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35"/>
      <c r="JP19" s="35"/>
      <c r="JQ19" s="35"/>
      <c r="JR19" s="6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19"/>
    </row>
    <row r="20" spans="1:372" s="2" customFormat="1" ht="49.5" customHeight="1" x14ac:dyDescent="0.25">
      <c r="A20" s="21" t="s">
        <v>31</v>
      </c>
      <c r="B20" s="16" t="s">
        <v>32</v>
      </c>
      <c r="C20" s="16" t="s">
        <v>16</v>
      </c>
      <c r="D20" s="14">
        <v>119</v>
      </c>
      <c r="E20" s="14">
        <v>88</v>
      </c>
      <c r="F20" s="22">
        <v>0.29166666666666669</v>
      </c>
      <c r="G20" s="1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35"/>
      <c r="JP20" s="35"/>
      <c r="JQ20" s="35"/>
      <c r="JR20" s="6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19"/>
    </row>
    <row r="21" spans="1:372" s="2" customFormat="1" ht="54.95" customHeight="1" x14ac:dyDescent="0.25">
      <c r="A21" s="21" t="s">
        <v>26</v>
      </c>
      <c r="B21" s="16" t="s">
        <v>27</v>
      </c>
      <c r="C21" s="16" t="s">
        <v>16</v>
      </c>
      <c r="D21" s="14">
        <v>88</v>
      </c>
      <c r="E21" s="17">
        <v>45747</v>
      </c>
      <c r="F21" s="22">
        <v>0.29166666666666669</v>
      </c>
      <c r="G21" s="15" t="s">
        <v>5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33"/>
      <c r="JP21" s="33"/>
      <c r="JQ21" s="33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19"/>
    </row>
    <row r="22" spans="1:372" s="2" customFormat="1" ht="31.5" customHeight="1" x14ac:dyDescent="0.25">
      <c r="A22" s="21" t="s">
        <v>28</v>
      </c>
      <c r="B22" s="17" t="s">
        <v>27</v>
      </c>
      <c r="C22" s="16" t="s">
        <v>16</v>
      </c>
      <c r="D22" s="14">
        <v>88</v>
      </c>
      <c r="E22" s="17">
        <v>45747</v>
      </c>
      <c r="F22" s="22">
        <v>0.29166666666666669</v>
      </c>
      <c r="G22" s="15" t="s">
        <v>5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33"/>
      <c r="JP22" s="33"/>
      <c r="JQ22" s="33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19"/>
    </row>
    <row r="23" spans="1:372" s="2" customFormat="1" ht="48.6" customHeight="1" x14ac:dyDescent="0.25">
      <c r="A23" s="21" t="s">
        <v>33</v>
      </c>
      <c r="B23" s="16"/>
      <c r="C23" s="16"/>
      <c r="D23" s="17"/>
      <c r="E23" s="17"/>
      <c r="F23" s="16"/>
      <c r="G23" s="1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35"/>
      <c r="KV23" s="35"/>
      <c r="KW23" s="34"/>
      <c r="KX23" s="34"/>
      <c r="KY23" s="34"/>
      <c r="KZ23" s="34"/>
      <c r="LA23" s="34"/>
      <c r="LB23" s="34"/>
      <c r="LC23" s="34"/>
      <c r="LD23" s="34"/>
      <c r="LE23" s="34"/>
      <c r="LF23" s="34"/>
      <c r="LG23" s="34"/>
      <c r="LH23" s="34"/>
      <c r="LI23" s="34"/>
      <c r="LJ23" s="34"/>
      <c r="LK23" s="34"/>
      <c r="LL23" s="34"/>
      <c r="LM23" s="34"/>
      <c r="LN23" s="34"/>
      <c r="LO23" s="34"/>
      <c r="LP23" s="34"/>
      <c r="LQ23" s="34"/>
      <c r="LR23" s="34"/>
      <c r="LS23" s="34"/>
      <c r="LT23" s="34"/>
      <c r="LU23" s="34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19"/>
    </row>
    <row r="24" spans="1:372" s="2" customFormat="1" ht="54.6" customHeight="1" x14ac:dyDescent="0.25">
      <c r="A24" s="21" t="s">
        <v>34</v>
      </c>
      <c r="B24" s="16"/>
      <c r="C24" s="16"/>
      <c r="D24" s="17"/>
      <c r="E24" s="17"/>
      <c r="F24" s="16"/>
      <c r="G24" s="1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35"/>
      <c r="KV24" s="35"/>
      <c r="KW24" s="34"/>
      <c r="KX24" s="34"/>
      <c r="KY24" s="34"/>
      <c r="KZ24" s="34"/>
      <c r="LA24" s="34"/>
      <c r="LB24" s="34"/>
      <c r="LC24" s="34"/>
      <c r="LD24" s="34"/>
      <c r="LE24" s="34"/>
      <c r="LF24" s="34"/>
      <c r="LG24" s="34"/>
      <c r="LH24" s="34"/>
      <c r="LI24" s="34"/>
      <c r="LJ24" s="34"/>
      <c r="LK24" s="34"/>
      <c r="LL24" s="34"/>
      <c r="LM24" s="34"/>
      <c r="LN24" s="34"/>
      <c r="LO24" s="34"/>
      <c r="LP24" s="34"/>
      <c r="LQ24" s="34"/>
      <c r="LR24" s="34"/>
      <c r="LS24" s="34"/>
      <c r="LT24" s="34"/>
      <c r="LU24" s="34"/>
      <c r="LV24" s="6"/>
      <c r="LW24" s="34"/>
      <c r="LX24" s="34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19"/>
    </row>
    <row r="25" spans="1:372" s="2" customFormat="1" ht="54.95" customHeight="1" x14ac:dyDescent="0.25">
      <c r="A25" s="21" t="s">
        <v>26</v>
      </c>
      <c r="B25" s="16" t="s">
        <v>27</v>
      </c>
      <c r="C25" s="16" t="s">
        <v>16</v>
      </c>
      <c r="D25" s="14">
        <v>149</v>
      </c>
      <c r="E25" s="17">
        <v>45747</v>
      </c>
      <c r="F25" s="22">
        <v>0.29166666666666669</v>
      </c>
      <c r="G25" s="15" t="s">
        <v>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33"/>
      <c r="JP25" s="33"/>
      <c r="JQ25" s="33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19"/>
    </row>
    <row r="26" spans="1:372" s="2" customFormat="1" ht="31.5" customHeight="1" x14ac:dyDescent="0.25">
      <c r="A26" s="21" t="s">
        <v>28</v>
      </c>
      <c r="B26" s="17" t="s">
        <v>27</v>
      </c>
      <c r="C26" s="16" t="s">
        <v>16</v>
      </c>
      <c r="D26" s="14">
        <v>149</v>
      </c>
      <c r="E26" s="17">
        <v>45747</v>
      </c>
      <c r="F26" s="22">
        <v>0.29166666666666669</v>
      </c>
      <c r="G26" s="15" t="s">
        <v>5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33"/>
      <c r="JP26" s="33"/>
      <c r="JQ26" s="33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19"/>
    </row>
    <row r="27" spans="1:372" s="2" customFormat="1" ht="42.6" customHeight="1" x14ac:dyDescent="0.25">
      <c r="A27" s="38" t="s">
        <v>35</v>
      </c>
      <c r="B27" s="16" t="s">
        <v>36</v>
      </c>
      <c r="C27" s="16"/>
      <c r="D27" s="17">
        <v>45809</v>
      </c>
      <c r="E27" s="17">
        <v>45836</v>
      </c>
      <c r="F27" s="22">
        <v>0.29166666666666669</v>
      </c>
      <c r="G27" s="1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19"/>
    </row>
    <row r="28" spans="1:372" s="2" customFormat="1" ht="52.5" customHeight="1" x14ac:dyDescent="0.25">
      <c r="A28" s="21" t="s">
        <v>37</v>
      </c>
      <c r="B28" s="16" t="s">
        <v>38</v>
      </c>
      <c r="C28" s="16"/>
      <c r="D28" s="17">
        <v>45748</v>
      </c>
      <c r="E28" s="17">
        <v>45836</v>
      </c>
      <c r="F28" s="22">
        <v>0.29166666666666669</v>
      </c>
      <c r="G28" s="1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19"/>
    </row>
    <row r="29" spans="1:372" s="2" customFormat="1" ht="54.95" customHeight="1" x14ac:dyDescent="0.25">
      <c r="A29" s="21" t="s">
        <v>26</v>
      </c>
      <c r="B29" s="16" t="s">
        <v>27</v>
      </c>
      <c r="C29" s="16" t="s">
        <v>16</v>
      </c>
      <c r="D29" s="17">
        <v>45836</v>
      </c>
      <c r="E29" s="17">
        <v>45839</v>
      </c>
      <c r="F29" s="22">
        <v>0.29166666666666669</v>
      </c>
      <c r="G29" s="15" t="s">
        <v>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33"/>
      <c r="JP29" s="33"/>
      <c r="JQ29" s="33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19"/>
    </row>
    <row r="30" spans="1:372" s="2" customFormat="1" ht="31.5" customHeight="1" x14ac:dyDescent="0.25">
      <c r="A30" s="21" t="s">
        <v>28</v>
      </c>
      <c r="B30" s="17" t="s">
        <v>27</v>
      </c>
      <c r="C30" s="16" t="s">
        <v>16</v>
      </c>
      <c r="D30" s="14">
        <v>45836</v>
      </c>
      <c r="E30" s="17">
        <v>45839</v>
      </c>
      <c r="F30" s="22">
        <v>0.29166666666666669</v>
      </c>
      <c r="G30" s="15" t="s">
        <v>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33"/>
      <c r="JP30" s="33"/>
      <c r="JQ30" s="33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19"/>
    </row>
    <row r="31" spans="1:372" s="2" customFormat="1" ht="47.45" customHeight="1" x14ac:dyDescent="0.4">
      <c r="A31" s="39" t="s">
        <v>39</v>
      </c>
      <c r="B31" s="16" t="s">
        <v>40</v>
      </c>
      <c r="C31" s="16" t="s">
        <v>16</v>
      </c>
      <c r="D31" s="17">
        <v>45839</v>
      </c>
      <c r="E31" s="17">
        <v>45930</v>
      </c>
      <c r="F31" s="40">
        <v>0.29166666666666669</v>
      </c>
      <c r="G31" s="18" t="s">
        <v>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19"/>
    </row>
    <row r="32" spans="1:372" s="2" customFormat="1" ht="31.5" customHeight="1" x14ac:dyDescent="0.25">
      <c r="A32" s="21" t="s">
        <v>41</v>
      </c>
      <c r="B32" s="16" t="s">
        <v>42</v>
      </c>
      <c r="C32" s="16" t="s">
        <v>16</v>
      </c>
      <c r="D32" s="17">
        <v>45839</v>
      </c>
      <c r="E32" s="17">
        <v>45930</v>
      </c>
      <c r="F32" s="40">
        <v>0.29166666666666669</v>
      </c>
      <c r="G32" s="18" t="s">
        <v>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19"/>
    </row>
    <row r="33" spans="1:372" s="2" customFormat="1" ht="31.5" customHeight="1" x14ac:dyDescent="0.25">
      <c r="A33" s="16" t="s">
        <v>43</v>
      </c>
      <c r="B33" s="16" t="s">
        <v>32</v>
      </c>
      <c r="C33" s="16" t="s">
        <v>16</v>
      </c>
      <c r="D33" s="17">
        <v>45839</v>
      </c>
      <c r="E33" s="17">
        <v>45930</v>
      </c>
      <c r="F33" s="40">
        <v>0.29166666666666669</v>
      </c>
      <c r="G33" s="18" t="s">
        <v>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45"/>
      <c r="KZ33" s="45"/>
      <c r="LA33" s="45"/>
      <c r="LB33" s="45"/>
      <c r="LC33" s="45"/>
      <c r="LD33" s="45"/>
      <c r="LE33" s="45"/>
      <c r="LF33" s="45"/>
      <c r="LG33" s="45"/>
      <c r="LH33" s="45"/>
      <c r="LI33" s="45"/>
      <c r="LJ33" s="45"/>
      <c r="LK33" s="45"/>
      <c r="LL33" s="45"/>
      <c r="LM33" s="45"/>
      <c r="LN33" s="45"/>
      <c r="LO33" s="45"/>
      <c r="LP33" s="45"/>
      <c r="LQ33" s="45"/>
      <c r="LR33" s="45"/>
      <c r="LS33" s="45"/>
      <c r="LT33" s="45"/>
      <c r="LU33" s="45"/>
      <c r="LV33" s="45"/>
      <c r="LW33" s="45"/>
      <c r="LX33" s="45"/>
      <c r="LY33" s="45"/>
      <c r="LZ33" s="45"/>
      <c r="MA33" s="45"/>
      <c r="MB33" s="45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19"/>
    </row>
    <row r="34" spans="1:372" s="2" customFormat="1" ht="31.5" customHeight="1" x14ac:dyDescent="0.25">
      <c r="A34" s="16" t="s">
        <v>44</v>
      </c>
      <c r="B34" s="16" t="s">
        <v>27</v>
      </c>
      <c r="C34" s="16" t="s">
        <v>16</v>
      </c>
      <c r="D34" s="17">
        <v>45839</v>
      </c>
      <c r="E34" s="17">
        <v>45930</v>
      </c>
      <c r="F34" s="40">
        <v>0.29166666666666669</v>
      </c>
      <c r="G34" s="18" t="s">
        <v>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45"/>
      <c r="KZ34" s="45"/>
      <c r="LA34" s="45"/>
      <c r="LB34" s="45"/>
      <c r="LC34" s="45"/>
      <c r="LD34" s="45"/>
      <c r="LE34" s="45"/>
      <c r="LF34" s="45"/>
      <c r="LG34" s="45"/>
      <c r="LH34" s="45"/>
      <c r="LI34" s="45"/>
      <c r="LJ34" s="45"/>
      <c r="LK34" s="45"/>
      <c r="LL34" s="45"/>
      <c r="LM34" s="45"/>
      <c r="LN34" s="45"/>
      <c r="LO34" s="45"/>
      <c r="LP34" s="45"/>
      <c r="LQ34" s="45"/>
      <c r="LR34" s="45"/>
      <c r="LS34" s="45"/>
      <c r="LT34" s="45"/>
      <c r="LU34" s="45"/>
      <c r="LV34" s="45"/>
      <c r="LW34" s="45"/>
      <c r="LX34" s="45"/>
      <c r="LY34" s="45"/>
      <c r="LZ34" s="45"/>
      <c r="MA34" s="45"/>
      <c r="MB34" s="45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19"/>
    </row>
    <row r="35" spans="1:372" s="2" customFormat="1" ht="31.5" customHeight="1" x14ac:dyDescent="0.25">
      <c r="A35" s="42" t="s">
        <v>45</v>
      </c>
      <c r="B35" s="16" t="s">
        <v>38</v>
      </c>
      <c r="C35" s="16" t="s">
        <v>16</v>
      </c>
      <c r="D35" s="17">
        <v>45839</v>
      </c>
      <c r="E35" s="17">
        <v>45930</v>
      </c>
      <c r="F35" s="40">
        <v>0.29166666666666669</v>
      </c>
      <c r="G35" s="18" t="s">
        <v>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19"/>
    </row>
    <row r="36" spans="1:372" s="2" customFormat="1" ht="54.95" customHeight="1" x14ac:dyDescent="0.25">
      <c r="A36" s="21" t="s">
        <v>26</v>
      </c>
      <c r="B36" s="16" t="s">
        <v>27</v>
      </c>
      <c r="C36" s="16" t="s">
        <v>16</v>
      </c>
      <c r="D36" s="14">
        <v>88</v>
      </c>
      <c r="E36" s="17">
        <v>45747</v>
      </c>
      <c r="F36" s="22">
        <v>0.29166666666666669</v>
      </c>
      <c r="G36" s="15" t="s">
        <v>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33"/>
      <c r="JP36" s="33"/>
      <c r="JQ36" s="33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19"/>
    </row>
    <row r="37" spans="1:372" s="2" customFormat="1" ht="31.5" customHeight="1" x14ac:dyDescent="0.25">
      <c r="A37" s="21" t="s">
        <v>28</v>
      </c>
      <c r="B37" s="17" t="s">
        <v>27</v>
      </c>
      <c r="C37" s="16" t="s">
        <v>16</v>
      </c>
      <c r="D37" s="14">
        <v>88</v>
      </c>
      <c r="E37" s="17">
        <v>45747</v>
      </c>
      <c r="F37" s="22">
        <v>0.29166666666666669</v>
      </c>
      <c r="G37" s="15" t="s">
        <v>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33"/>
      <c r="JP37" s="33"/>
      <c r="JQ37" s="33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19"/>
    </row>
    <row r="38" spans="1:372" s="2" customFormat="1" ht="31.5" customHeight="1" x14ac:dyDescent="0.25">
      <c r="A38" s="43" t="s">
        <v>46</v>
      </c>
      <c r="B38" s="41"/>
      <c r="C38" s="16"/>
      <c r="D38" s="17"/>
      <c r="E38" s="17"/>
      <c r="F38" s="16"/>
      <c r="G38" s="1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19"/>
    </row>
    <row r="39" spans="1:372" s="2" customFormat="1" ht="31.5" customHeight="1" x14ac:dyDescent="0.25">
      <c r="A39" s="43" t="s">
        <v>47</v>
      </c>
      <c r="B39" s="41"/>
      <c r="C39" s="16"/>
      <c r="D39" s="17"/>
      <c r="E39" s="17"/>
      <c r="F39" s="16"/>
      <c r="G39" s="1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19"/>
    </row>
    <row r="40" spans="1:372" s="2" customFormat="1" ht="31.5" customHeight="1" x14ac:dyDescent="0.25">
      <c r="A40" s="43" t="s">
        <v>48</v>
      </c>
      <c r="B40" s="41"/>
      <c r="C40" s="16"/>
      <c r="D40" s="17"/>
      <c r="E40" s="17"/>
      <c r="F40" s="16"/>
      <c r="G40" s="1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41"/>
      <c r="IY40" s="16"/>
      <c r="IZ40" s="17"/>
      <c r="JA40" s="17"/>
      <c r="JB40" s="16"/>
      <c r="JC40" s="18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19"/>
    </row>
    <row r="41" spans="1:372" ht="19.5" x14ac:dyDescent="0.25">
      <c r="A41" s="43" t="s">
        <v>49</v>
      </c>
      <c r="B41" s="41"/>
      <c r="C41" s="16"/>
      <c r="D41" s="17"/>
      <c r="E41" s="17"/>
      <c r="F41" s="16"/>
      <c r="G41" s="1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41"/>
      <c r="IY41" s="16"/>
      <c r="IZ41" s="17"/>
      <c r="JA41" s="17"/>
      <c r="JB41" s="16"/>
      <c r="JC41" s="18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19"/>
    </row>
    <row r="42" spans="1:372" s="2" customFormat="1" ht="54.95" customHeight="1" x14ac:dyDescent="0.25">
      <c r="A42" s="21" t="s">
        <v>26</v>
      </c>
      <c r="B42" s="16" t="s">
        <v>27</v>
      </c>
      <c r="C42" s="16" t="s">
        <v>16</v>
      </c>
      <c r="D42" s="14">
        <v>88</v>
      </c>
      <c r="E42" s="17">
        <v>45747</v>
      </c>
      <c r="F42" s="22">
        <v>0.29166666666666669</v>
      </c>
      <c r="G42" s="15" t="s">
        <v>5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33"/>
      <c r="JP42" s="33"/>
      <c r="JQ42" s="33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19"/>
    </row>
    <row r="43" spans="1:372" s="2" customFormat="1" ht="31.5" customHeight="1" x14ac:dyDescent="0.25">
      <c r="A43" s="21" t="s">
        <v>28</v>
      </c>
      <c r="B43" s="17" t="s">
        <v>27</v>
      </c>
      <c r="C43" s="16" t="s">
        <v>16</v>
      </c>
      <c r="D43" s="14">
        <v>88</v>
      </c>
      <c r="E43" s="17">
        <v>45747</v>
      </c>
      <c r="F43" s="22">
        <v>0.29166666666666669</v>
      </c>
      <c r="G43" s="15" t="s">
        <v>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33"/>
      <c r="JP43" s="33"/>
      <c r="JQ43" s="33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19"/>
    </row>
    <row r="44" spans="1:372" ht="21" customHeight="1" x14ac:dyDescent="0.25">
      <c r="A44" s="43" t="s">
        <v>50</v>
      </c>
      <c r="B44" s="16" t="s">
        <v>27</v>
      </c>
      <c r="C44" s="16" t="s">
        <v>16</v>
      </c>
      <c r="D44" s="14">
        <v>88</v>
      </c>
      <c r="E44" s="17">
        <v>45747</v>
      </c>
      <c r="F44" s="22">
        <v>0.29166666666666669</v>
      </c>
      <c r="G44" s="15" t="s">
        <v>5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41"/>
      <c r="IY44" s="16"/>
      <c r="IZ44" s="17"/>
      <c r="JA44" s="17"/>
      <c r="JB44" s="16"/>
      <c r="JC44" s="18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19"/>
    </row>
    <row r="45" spans="1:372" ht="21.6" customHeight="1" x14ac:dyDescent="0.25">
      <c r="A45" s="43" t="s">
        <v>51</v>
      </c>
      <c r="B45" s="17" t="s">
        <v>27</v>
      </c>
      <c r="C45" s="16" t="s">
        <v>16</v>
      </c>
      <c r="D45" s="14">
        <v>88</v>
      </c>
      <c r="E45" s="17">
        <v>45747</v>
      </c>
      <c r="F45" s="22">
        <v>0.29166666666666669</v>
      </c>
      <c r="G45" s="15" t="s">
        <v>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41"/>
      <c r="IY45" s="16"/>
      <c r="IZ45" s="17"/>
      <c r="JA45" s="17"/>
      <c r="JB45" s="16"/>
      <c r="JC45" s="18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19"/>
    </row>
    <row r="46" spans="1:372" ht="25.5" customHeight="1" x14ac:dyDescent="0.25">
      <c r="A46" s="44" t="s">
        <v>52</v>
      </c>
      <c r="B46" s="16" t="s">
        <v>27</v>
      </c>
      <c r="C46" s="16" t="s">
        <v>16</v>
      </c>
      <c r="D46" s="14">
        <v>88</v>
      </c>
      <c r="E46" s="17">
        <v>45747</v>
      </c>
      <c r="F46" s="22">
        <v>0.29166666666666669</v>
      </c>
      <c r="G46" s="15" t="s">
        <v>5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41"/>
      <c r="IY46" s="16"/>
      <c r="IZ46" s="17"/>
      <c r="JA46" s="17"/>
      <c r="JB46" s="16"/>
      <c r="JC46" s="18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19"/>
    </row>
    <row r="47" spans="1:372" x14ac:dyDescent="0.25">
      <c r="NH47" s="19"/>
    </row>
    <row r="48" spans="1:372" x14ac:dyDescent="0.25"/>
    <row r="49" x14ac:dyDescent="0.25"/>
    <row r="50" x14ac:dyDescent="0.25"/>
    <row r="51" x14ac:dyDescent="0.25"/>
    <row r="52" x14ac:dyDescent="0.25"/>
  </sheetData>
  <mergeCells count="9">
    <mergeCell ref="G8:G9"/>
    <mergeCell ref="A2:B2"/>
    <mergeCell ref="F8:F9"/>
    <mergeCell ref="C1:E2"/>
    <mergeCell ref="B8:B9"/>
    <mergeCell ref="C8:C9"/>
    <mergeCell ref="A8:A9"/>
    <mergeCell ref="D8:D9"/>
    <mergeCell ref="E8:E9"/>
  </mergeCells>
  <phoneticPr fontId="6" type="noConversion"/>
  <conditionalFormatting sqref="C1:E2">
    <cfRule type="expression" dxfId="13" priority="39">
      <formula>C1="ERROR EN FECHAS"</formula>
    </cfRule>
  </conditionalFormatting>
  <conditionalFormatting sqref="E5:E7 E1:E2">
    <cfRule type="expression" dxfId="12" priority="136">
      <formula>E1&lt;&gt;""</formula>
    </cfRule>
  </conditionalFormatting>
  <conditionalFormatting sqref="G10:G46">
    <cfRule type="expression" dxfId="11" priority="1">
      <formula>G10="FINALIZADO"</formula>
    </cfRule>
    <cfRule type="expression" dxfId="10" priority="2">
      <formula>G10="EN PROCESO"</formula>
    </cfRule>
    <cfRule type="expression" dxfId="9" priority="3">
      <formula>G10="PENDIENTE"</formula>
    </cfRule>
  </conditionalFormatting>
  <conditionalFormatting sqref="H40:IW41 JD40:NG41 H44:IW46 JD44:NG46">
    <cfRule type="expression" dxfId="8" priority="35">
      <formula>H$7=1</formula>
    </cfRule>
    <cfRule type="expression" dxfId="7" priority="36">
      <formula>AND(H$8&gt;=$D40,H$8&lt;=$E40)</formula>
    </cfRule>
  </conditionalFormatting>
  <conditionalFormatting sqref="H10:NG39">
    <cfRule type="expression" dxfId="6" priority="15">
      <formula>H$7=1</formula>
    </cfRule>
    <cfRule type="expression" dxfId="5" priority="16">
      <formula>AND(H$8&gt;=$D10,H$8&lt;=$E10)</formula>
    </cfRule>
  </conditionalFormatting>
  <conditionalFormatting sqref="H42:NG43">
    <cfRule type="expression" dxfId="4" priority="10">
      <formula>H$7=1</formula>
    </cfRule>
    <cfRule type="expression" dxfId="3" priority="11">
      <formula>AND(H$8&gt;=$D42,H$8&lt;=$E42)</formula>
    </cfRule>
  </conditionalFormatting>
  <conditionalFormatting sqref="JC40:JC41 JC44:JC46">
    <cfRule type="expression" dxfId="2" priority="133">
      <formula>JC40="FINALIZADO"</formula>
    </cfRule>
    <cfRule type="expression" dxfId="1" priority="134">
      <formula>JC40="EN PROCESO"</formula>
    </cfRule>
    <cfRule type="expression" dxfId="0" priority="135">
      <formula>JC40="PENDIENTE"</formula>
    </cfRule>
  </conditionalFormatting>
  <dataValidations count="2">
    <dataValidation type="list" allowBlank="1" showInputMessage="1" showErrorMessage="1" sqref="B1" xr:uid="{00000000-0002-0000-0000-000000000000}">
      <formula1>"SI,NO"</formula1>
    </dataValidation>
    <dataValidation type="list" allowBlank="1" showInputMessage="1" showErrorMessage="1" sqref="JC44:JC46 JC40:JC41 G10:G46" xr:uid="{00000000-0002-0000-0000-000001000000}">
      <formula1>"PENDIENTE,EN PROCESO,FINALIZADO"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tabSelected="1" topLeftCell="A31" workbookViewId="0">
      <selection activeCell="C15" sqref="C15"/>
    </sheetView>
  </sheetViews>
  <sheetFormatPr baseColWidth="10" defaultColWidth="33.42578125" defaultRowHeight="14.1" customHeight="1" x14ac:dyDescent="0.25"/>
  <cols>
    <col min="2" max="2" width="33.5703125" customWidth="1"/>
  </cols>
  <sheetData>
    <row r="1" spans="1:3" ht="14.1" customHeight="1" x14ac:dyDescent="0.25">
      <c r="A1" s="23" t="s">
        <v>53</v>
      </c>
    </row>
    <row r="3" spans="1:3" ht="14.1" customHeight="1" x14ac:dyDescent="0.25">
      <c r="A3" s="24" t="s">
        <v>54</v>
      </c>
      <c r="B3" s="24" t="s">
        <v>55</v>
      </c>
      <c r="C3" s="24" t="s">
        <v>56</v>
      </c>
    </row>
    <row r="4" spans="1:3" ht="14.1" customHeight="1" x14ac:dyDescent="0.25">
      <c r="A4" s="1" t="s">
        <v>57</v>
      </c>
      <c r="B4" s="1" t="s">
        <v>58</v>
      </c>
      <c r="C4" s="25">
        <v>220000000</v>
      </c>
    </row>
    <row r="5" spans="1:3" ht="14.1" customHeight="1" x14ac:dyDescent="0.25">
      <c r="A5" s="1" t="s">
        <v>59</v>
      </c>
      <c r="B5" s="1" t="s">
        <v>60</v>
      </c>
      <c r="C5" s="25">
        <v>210000000</v>
      </c>
    </row>
    <row r="6" spans="1:3" ht="14.1" customHeight="1" x14ac:dyDescent="0.25">
      <c r="A6" s="1" t="s">
        <v>61</v>
      </c>
      <c r="B6" s="1" t="s">
        <v>62</v>
      </c>
      <c r="C6" s="25">
        <v>1290000000</v>
      </c>
    </row>
    <row r="7" spans="1:3" ht="14.1" customHeight="1" x14ac:dyDescent="0.25">
      <c r="A7" s="1" t="s">
        <v>63</v>
      </c>
      <c r="B7" s="1" t="s">
        <v>64</v>
      </c>
      <c r="C7" s="25">
        <v>450000000</v>
      </c>
    </row>
    <row r="8" spans="1:3" ht="14.1" customHeight="1" x14ac:dyDescent="0.25">
      <c r="A8" s="1" t="s">
        <v>65</v>
      </c>
      <c r="B8" s="1" t="s">
        <v>66</v>
      </c>
      <c r="C8" s="25">
        <v>375000000</v>
      </c>
    </row>
    <row r="9" spans="1:3" ht="14.1" customHeight="1" x14ac:dyDescent="0.25">
      <c r="A9" s="1" t="s">
        <v>67</v>
      </c>
      <c r="B9" s="1" t="s">
        <v>68</v>
      </c>
      <c r="C9" s="25">
        <v>265000000</v>
      </c>
    </row>
    <row r="10" spans="1:3" ht="14.1" customHeight="1" x14ac:dyDescent="0.25">
      <c r="A10" s="26" t="s">
        <v>69</v>
      </c>
      <c r="B10" s="1"/>
      <c r="C10" s="27">
        <f>SUM(C3:C9)</f>
        <v>2810000000</v>
      </c>
    </row>
    <row r="13" spans="1:3" ht="14.1" customHeight="1" x14ac:dyDescent="0.25">
      <c r="A13" s="23" t="s">
        <v>70</v>
      </c>
    </row>
    <row r="15" spans="1:3" ht="14.1" customHeight="1" x14ac:dyDescent="0.25">
      <c r="A15" s="24" t="s">
        <v>71</v>
      </c>
      <c r="B15" s="24" t="s">
        <v>72</v>
      </c>
      <c r="C15" s="24" t="s">
        <v>56</v>
      </c>
    </row>
    <row r="16" spans="1:3" ht="14.1" customHeight="1" x14ac:dyDescent="0.25">
      <c r="A16" s="1" t="s">
        <v>73</v>
      </c>
      <c r="B16" s="1" t="s">
        <v>74</v>
      </c>
      <c r="C16" s="25">
        <v>12000000</v>
      </c>
    </row>
    <row r="17" spans="1:3" ht="14.1" customHeight="1" x14ac:dyDescent="0.25">
      <c r="A17" s="1" t="s">
        <v>75</v>
      </c>
      <c r="B17" s="1" t="s">
        <v>76</v>
      </c>
      <c r="C17" s="25">
        <v>15000000</v>
      </c>
    </row>
    <row r="18" spans="1:3" ht="14.1" customHeight="1" x14ac:dyDescent="0.25">
      <c r="A18" s="1" t="s">
        <v>77</v>
      </c>
      <c r="B18" s="1" t="s">
        <v>78</v>
      </c>
      <c r="C18" s="25">
        <v>16000000</v>
      </c>
    </row>
    <row r="19" spans="1:3" ht="14.1" customHeight="1" x14ac:dyDescent="0.25">
      <c r="A19" s="1" t="s">
        <v>79</v>
      </c>
      <c r="B19" s="1" t="s">
        <v>80</v>
      </c>
      <c r="C19" s="25">
        <v>7000000</v>
      </c>
    </row>
    <row r="20" spans="1:3" ht="14.1" customHeight="1" x14ac:dyDescent="0.25">
      <c r="A20" s="1" t="s">
        <v>81</v>
      </c>
      <c r="B20" s="1" t="s">
        <v>82</v>
      </c>
      <c r="C20" s="25">
        <v>10000000</v>
      </c>
    </row>
    <row r="21" spans="1:3" ht="14.1" customHeight="1" x14ac:dyDescent="0.25">
      <c r="A21" s="1" t="s">
        <v>83</v>
      </c>
      <c r="B21" s="1" t="s">
        <v>84</v>
      </c>
      <c r="C21" s="25">
        <v>8000000</v>
      </c>
    </row>
    <row r="22" spans="1:3" ht="14.1" customHeight="1" x14ac:dyDescent="0.25">
      <c r="A22" s="1" t="s">
        <v>85</v>
      </c>
      <c r="B22" s="1" t="s">
        <v>86</v>
      </c>
      <c r="C22" s="25">
        <v>10000000</v>
      </c>
    </row>
    <row r="23" spans="1:3" ht="14.1" customHeight="1" x14ac:dyDescent="0.25">
      <c r="A23" s="26" t="s">
        <v>87</v>
      </c>
      <c r="B23" s="1"/>
      <c r="C23" s="27">
        <f>SUM(C16:C22)</f>
        <v>78000000</v>
      </c>
    </row>
    <row r="26" spans="1:3" ht="14.1" customHeight="1" x14ac:dyDescent="0.25">
      <c r="A26" s="23" t="s">
        <v>88</v>
      </c>
    </row>
    <row r="28" spans="1:3" ht="14.1" customHeight="1" x14ac:dyDescent="0.25">
      <c r="A28" s="24" t="s">
        <v>54</v>
      </c>
      <c r="B28" s="24" t="s">
        <v>55</v>
      </c>
      <c r="C28" s="24" t="s">
        <v>56</v>
      </c>
    </row>
    <row r="29" spans="1:3" ht="14.1" customHeight="1" x14ac:dyDescent="0.25">
      <c r="A29" s="1" t="s">
        <v>89</v>
      </c>
      <c r="B29" s="1" t="s">
        <v>90</v>
      </c>
      <c r="C29" s="25">
        <v>12000000</v>
      </c>
    </row>
    <row r="30" spans="1:3" ht="14.1" customHeight="1" x14ac:dyDescent="0.25">
      <c r="A30" s="1" t="s">
        <v>91</v>
      </c>
      <c r="B30" s="1" t="s">
        <v>92</v>
      </c>
      <c r="C30" s="25">
        <v>6000000</v>
      </c>
    </row>
    <row r="31" spans="1:3" ht="14.1" customHeight="1" x14ac:dyDescent="0.25">
      <c r="A31" s="1" t="s">
        <v>93</v>
      </c>
      <c r="B31" s="1" t="s">
        <v>94</v>
      </c>
      <c r="C31" s="25">
        <v>4000000</v>
      </c>
    </row>
    <row r="32" spans="1:3" ht="14.1" customHeight="1" x14ac:dyDescent="0.25">
      <c r="A32" s="1" t="s">
        <v>95</v>
      </c>
      <c r="B32" s="1" t="s">
        <v>96</v>
      </c>
      <c r="C32" s="25">
        <v>3500000</v>
      </c>
    </row>
    <row r="33" spans="1:3" ht="14.1" customHeight="1" x14ac:dyDescent="0.25">
      <c r="A33" s="1" t="s">
        <v>97</v>
      </c>
      <c r="B33" s="1" t="s">
        <v>98</v>
      </c>
      <c r="C33" s="25">
        <v>5000000</v>
      </c>
    </row>
    <row r="34" spans="1:3" ht="14.1" customHeight="1" x14ac:dyDescent="0.25">
      <c r="A34" s="26" t="s">
        <v>99</v>
      </c>
      <c r="B34" s="1"/>
      <c r="C34" s="27">
        <v>30500000</v>
      </c>
    </row>
    <row r="37" spans="1:3" ht="14.1" customHeight="1" x14ac:dyDescent="0.25">
      <c r="A37" s="23" t="s">
        <v>100</v>
      </c>
    </row>
    <row r="39" spans="1:3" ht="14.1" customHeight="1" x14ac:dyDescent="0.25">
      <c r="A39" s="24" t="s">
        <v>54</v>
      </c>
      <c r="B39" s="24" t="s">
        <v>55</v>
      </c>
      <c r="C39" s="24" t="s">
        <v>56</v>
      </c>
    </row>
    <row r="40" spans="1:3" ht="14.1" customHeight="1" x14ac:dyDescent="0.25">
      <c r="A40" s="1" t="s">
        <v>101</v>
      </c>
      <c r="B40" s="1" t="s">
        <v>102</v>
      </c>
      <c r="C40" s="25">
        <v>35000000</v>
      </c>
    </row>
    <row r="41" spans="1:3" ht="14.1" customHeight="1" x14ac:dyDescent="0.25">
      <c r="A41" s="1" t="s">
        <v>103</v>
      </c>
      <c r="B41" s="1" t="s">
        <v>104</v>
      </c>
      <c r="C41" s="25">
        <v>8000000</v>
      </c>
    </row>
    <row r="42" spans="1:3" ht="14.1" customHeight="1" x14ac:dyDescent="0.25">
      <c r="A42" s="1" t="s">
        <v>105</v>
      </c>
      <c r="B42" s="1" t="s">
        <v>106</v>
      </c>
      <c r="C42" s="25">
        <v>4000000</v>
      </c>
    </row>
    <row r="43" spans="1:3" ht="14.1" customHeight="1" x14ac:dyDescent="0.25">
      <c r="A43" s="1" t="s">
        <v>107</v>
      </c>
      <c r="B43" s="1" t="s">
        <v>108</v>
      </c>
      <c r="C43" s="25">
        <v>3000000</v>
      </c>
    </row>
    <row r="44" spans="1:3" ht="14.1" customHeight="1" x14ac:dyDescent="0.25">
      <c r="A44" s="26" t="s">
        <v>109</v>
      </c>
      <c r="B44" s="1"/>
      <c r="C44" s="27">
        <v>50000000</v>
      </c>
    </row>
    <row r="47" spans="1:3" ht="14.1" customHeight="1" x14ac:dyDescent="0.25">
      <c r="A47" s="23" t="s">
        <v>110</v>
      </c>
    </row>
    <row r="49" spans="1:3" ht="14.1" customHeight="1" x14ac:dyDescent="0.25">
      <c r="A49" s="24" t="s">
        <v>54</v>
      </c>
      <c r="B49" s="24" t="s">
        <v>55</v>
      </c>
      <c r="C49" s="24" t="s">
        <v>56</v>
      </c>
    </row>
    <row r="50" spans="1:3" ht="14.1" customHeight="1" x14ac:dyDescent="0.25">
      <c r="A50" s="1" t="s">
        <v>111</v>
      </c>
      <c r="B50" s="1" t="s">
        <v>112</v>
      </c>
      <c r="C50" s="25">
        <v>2500000</v>
      </c>
    </row>
    <row r="51" spans="1:3" ht="14.1" customHeight="1" x14ac:dyDescent="0.25">
      <c r="A51" s="1" t="s">
        <v>113</v>
      </c>
      <c r="B51" s="1" t="s">
        <v>114</v>
      </c>
      <c r="C51" s="25">
        <v>5000000</v>
      </c>
    </row>
    <row r="52" spans="1:3" ht="14.1" customHeight="1" x14ac:dyDescent="0.25">
      <c r="A52" s="1" t="s">
        <v>115</v>
      </c>
      <c r="B52" s="1" t="s">
        <v>116</v>
      </c>
      <c r="C52" s="25">
        <v>3500000</v>
      </c>
    </row>
    <row r="53" spans="1:3" ht="14.1" customHeight="1" x14ac:dyDescent="0.25">
      <c r="A53" s="26" t="s">
        <v>117</v>
      </c>
      <c r="B53" s="1"/>
      <c r="C53" s="27">
        <v>11000000</v>
      </c>
    </row>
    <row r="56" spans="1:3" ht="14.1" customHeight="1" x14ac:dyDescent="0.25">
      <c r="A56" s="28" t="s">
        <v>118</v>
      </c>
    </row>
    <row r="58" spans="1:3" ht="14.1" customHeight="1" x14ac:dyDescent="0.25">
      <c r="A58" s="24" t="s">
        <v>119</v>
      </c>
      <c r="B58" s="24" t="s">
        <v>56</v>
      </c>
    </row>
    <row r="59" spans="1:3" ht="14.1" customHeight="1" x14ac:dyDescent="0.25">
      <c r="A59" s="1" t="s">
        <v>120</v>
      </c>
      <c r="B59" s="25">
        <f>C10</f>
        <v>2810000000</v>
      </c>
    </row>
    <row r="60" spans="1:3" ht="14.1" customHeight="1" x14ac:dyDescent="0.25">
      <c r="A60" s="1" t="s">
        <v>121</v>
      </c>
      <c r="B60" s="25">
        <f>C23</f>
        <v>78000000</v>
      </c>
    </row>
    <row r="61" spans="1:3" ht="14.1" customHeight="1" x14ac:dyDescent="0.25">
      <c r="A61" s="1" t="s">
        <v>122</v>
      </c>
      <c r="B61" s="25">
        <f>C34</f>
        <v>30500000</v>
      </c>
    </row>
    <row r="62" spans="1:3" ht="14.1" customHeight="1" x14ac:dyDescent="0.25">
      <c r="A62" s="1" t="s">
        <v>123</v>
      </c>
      <c r="B62" s="25">
        <v>50000000</v>
      </c>
    </row>
    <row r="63" spans="1:3" ht="14.1" customHeight="1" x14ac:dyDescent="0.25">
      <c r="A63" s="1" t="s">
        <v>124</v>
      </c>
      <c r="B63" s="25">
        <f>C53</f>
        <v>11000000</v>
      </c>
    </row>
    <row r="64" spans="1:3" ht="14.1" customHeight="1" x14ac:dyDescent="0.25">
      <c r="A64" s="26" t="s">
        <v>125</v>
      </c>
      <c r="B64" s="27">
        <f>SUM(B59:B63)</f>
        <v>2979500000</v>
      </c>
    </row>
    <row r="65" spans="1:2" ht="14.1" customHeight="1" x14ac:dyDescent="0.25">
      <c r="A65" s="29" t="s">
        <v>126</v>
      </c>
      <c r="B65" s="27">
        <f>B64*15%</f>
        <v>446925000</v>
      </c>
    </row>
    <row r="66" spans="1:2" ht="14.1" customHeight="1" x14ac:dyDescent="0.25">
      <c r="A66" s="26" t="s">
        <v>127</v>
      </c>
      <c r="B66" s="27">
        <f>SUM(B64:B65)</f>
        <v>3426425000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COSTOS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Tomy</dc:creator>
  <cp:keywords/>
  <dc:description/>
  <cp:lastModifiedBy>T4t4n32</cp:lastModifiedBy>
  <cp:revision/>
  <dcterms:created xsi:type="dcterms:W3CDTF">2023-01-10T22:09:35Z</dcterms:created>
  <dcterms:modified xsi:type="dcterms:W3CDTF">2025-07-10T23:13:45Z</dcterms:modified>
  <cp:category/>
  <cp:contentStatus/>
</cp:coreProperties>
</file>